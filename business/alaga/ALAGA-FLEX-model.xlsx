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Landed Cost" sheetId="3" state="visible" r:id="rId3"/>
    <sheet name="Monthly Model" sheetId="4" state="visible" r:id="rId4"/>
    <sheet name="Scenarios &amp; Payb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₱&quot;#,##0;(&quot;₱&quot;#,##0);-"/>
    <numFmt numFmtId="165" formatCode="#,##0;(#,##0);-"/>
    <numFmt numFmtId="166" formatCode="0.0%"/>
    <numFmt numFmtId="167" formatCode="&quot;$&quot;#,##0.00;(&quot;$&quot;#,##0.00);-"/>
    <numFmt numFmtId="168" formatCode="&quot;₱&quot;#,##0.00;(&quot;₱&quot;#,##0.00);-"/>
  </numFmts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333333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i val="1"/>
      <color rgb="00666666"/>
      <sz val="9"/>
    </font>
    <font>
      <name val="Arial"/>
      <b val="1"/>
      <sz val="10"/>
    </font>
    <font>
      <name val="Arial"/>
      <color rgb="00008000"/>
      <sz val="10"/>
    </font>
    <font>
      <name val="Arial"/>
      <color rgb="00444444"/>
      <sz val="9"/>
    </font>
    <font>
      <name val="Arial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pivotButton="0" quotePrefix="0" xfId="0"/>
    <xf numFmtId="0" fontId="6" fillId="2" borderId="0" pivotButton="0" quotePrefix="0" xfId="0"/>
    <xf numFmtId="0" fontId="4" fillId="0" borderId="0" pivotButton="0" quotePrefix="0" xfId="0"/>
    <xf numFmtId="4" fontId="7" fillId="3" borderId="1" pivotButton="0" quotePrefix="0" xfId="0"/>
    <xf numFmtId="0" fontId="8" fillId="0" borderId="0" pivotButton="0" quotePrefix="0" xfId="0"/>
    <xf numFmtId="164" fontId="7" fillId="3" borderId="1" pivotButton="0" quotePrefix="0" xfId="0"/>
    <xf numFmtId="165" fontId="7" fillId="3" borderId="1" pivotButton="0" quotePrefix="0" xfId="0"/>
    <xf numFmtId="49" fontId="4" fillId="0" borderId="1" pivotButton="0" quotePrefix="0" xfId="0"/>
    <xf numFmtId="166" fontId="7" fillId="3" borderId="1" pivotButton="0" quotePrefix="0" xfId="0"/>
    <xf numFmtId="0" fontId="9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6" fillId="2" borderId="0" applyAlignment="1" pivotButton="0" quotePrefix="0" xfId="0">
      <alignment horizontal="center"/>
    </xf>
    <xf numFmtId="167" fontId="7" fillId="3" borderId="1" pivotButton="0" quotePrefix="0" xfId="0"/>
    <xf numFmtId="167" fontId="4" fillId="0" borderId="1" pivotButton="0" quotePrefix="0" xfId="0"/>
    <xf numFmtId="164" fontId="4" fillId="0" borderId="1" pivotButton="0" quotePrefix="0" xfId="0"/>
    <xf numFmtId="0" fontId="10" fillId="0" borderId="0" pivotButton="0" quotePrefix="0" xfId="0"/>
    <xf numFmtId="168" fontId="10" fillId="4" borderId="1" pivotButton="0" quotePrefix="0" xfId="0"/>
    <xf numFmtId="0" fontId="3" fillId="0" borderId="0" pivotButton="0" quotePrefix="0" xfId="0"/>
    <xf numFmtId="168" fontId="11" fillId="4" borderId="1" pivotButton="0" quotePrefix="0" xfId="0"/>
    <xf numFmtId="165" fontId="11" fillId="4" borderId="1" pivotButton="0" quotePrefix="0" xfId="0"/>
    <xf numFmtId="164" fontId="11" fillId="4" borderId="1" pivotButton="0" quotePrefix="0" xfId="0"/>
    <xf numFmtId="166" fontId="11" fillId="4" borderId="1" pivotButton="0" quotePrefix="0" xfId="0"/>
    <xf numFmtId="0" fontId="12" fillId="0" borderId="0" pivotButton="0" quotePrefix="0" xfId="0"/>
    <xf numFmtId="165" fontId="6" fillId="2" borderId="0" applyAlignment="1" pivotButton="0" quotePrefix="0" xfId="0">
      <alignment horizontal="center"/>
    </xf>
    <xf numFmtId="165" fontId="4" fillId="0" borderId="0" pivotButton="0" quotePrefix="0" xfId="0"/>
    <xf numFmtId="165" fontId="10" fillId="0" borderId="0" pivotButton="0" quotePrefix="0" xfId="0"/>
    <xf numFmtId="164" fontId="4" fillId="0" borderId="0" pivotButton="0" quotePrefix="0" xfId="0"/>
    <xf numFmtId="164" fontId="10" fillId="0" borderId="0" pivotButton="0" quotePrefix="0" xfId="0"/>
    <xf numFmtId="0" fontId="10" fillId="4" borderId="0" pivotButton="0" quotePrefix="0" xfId="0"/>
    <xf numFmtId="164" fontId="10" fillId="4" borderId="0" pivotButton="0" quotePrefix="0" xfId="0"/>
    <xf numFmtId="49" fontId="4" fillId="0" borderId="0" pivotButton="0" quotePrefix="0" xfId="0"/>
    <xf numFmtId="164" fontId="11" fillId="0" borderId="1" pivotButton="0" quotePrefix="0" xfId="0"/>
    <xf numFmtId="164" fontId="10" fillId="4" borderId="1" pivotButton="0" quotePrefix="0" xfId="0"/>
    <xf numFmtId="49" fontId="11" fillId="0" borderId="1" pivotButton="0" quotePrefix="0" xfId="0"/>
    <xf numFmtId="168" fontId="11" fillId="0" borderId="1" pivotButton="0" quotePrefix="0" xfId="0"/>
    <xf numFmtId="166" fontId="11" fillId="0" borderId="1" pivotButton="0" quotePrefix="0" xfId="0"/>
    <xf numFmtId="165" fontId="11" fillId="0" borderId="1" pivotButton="0" quotePrefix="0" xfId="0"/>
    <xf numFmtId="165" fontId="10" fillId="4" borderId="1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Model</author>
  </authors>
  <commentList>
    <comment ref="C8" authorId="0" shapeId="0">
      <text>
        <t>BAI dossier requires: SPSIC, Certificate of Free Sale from country of origin, manufacturer GMP certificate, product composition, stability studies for PH climate Zone IVB, and pharmacological/toxicological data. Penalties for non-compliance run PHP 50,000-1,000,000. Source: PH Bureau of Animal Industry requirements, 2026.</t>
      </text>
    </comment>
    <comment ref="C26" authorId="0" shapeId="0">
      <text>
        <t>Model is more sensitive to this than to FOB cost. Track cohort reorder rate weekly from launch. Operating manual kill criterion: abandon if under 15% by month 4.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ALAGA FLEX — SKU #1 Financial Model</t>
        </is>
      </c>
    </row>
    <row r="3">
      <c r="B3" s="2" t="inlineStr">
        <is>
          <t>Dog joint supplement (soft chew) · Philippines import &amp; D2C/wholesale launch</t>
        </is>
      </c>
    </row>
    <row r="5">
      <c r="B5" s="3" t="inlineStr">
        <is>
          <t>HOW TO USE THIS MODEL</t>
        </is>
      </c>
    </row>
    <row r="6">
      <c r="B6" s="4" t="inlineStr">
        <is>
          <t>1. Go to the Assumptions tab. Every cell you should touch is BLUE TEXT ON YELLOW.</t>
        </is>
      </c>
    </row>
    <row r="7">
      <c r="B7" s="4" t="inlineStr">
        <is>
          <t>2. Everything else is a formula — leave it alone and it will recalculate.</t>
        </is>
      </c>
    </row>
    <row r="8">
      <c r="B8" s="4" t="inlineStr">
        <is>
          <t>3. Landed Cost compares a US (NASC) supplier against a China supplier side by side.</t>
        </is>
      </c>
    </row>
    <row r="9">
      <c r="B9" s="4" t="inlineStr">
        <is>
          <t>4. Pick your supplier lane in Assumptions (cell B10) — the whole model follows it.</t>
        </is>
      </c>
    </row>
    <row r="10">
      <c r="B10" s="4" t="inlineStr">
        <is>
          <t>5. Monthly Model runs 24 months. Scenarios shows conservative / base / upside payback.</t>
        </is>
      </c>
    </row>
    <row r="12">
      <c r="B12" s="3" t="inlineStr">
        <is>
          <t>COLOUR KEY</t>
        </is>
      </c>
    </row>
    <row r="13">
      <c r="B13" s="4" t="inlineStr">
        <is>
          <t>Blue text on yellow = your input. Change these.</t>
        </is>
      </c>
    </row>
    <row r="14">
      <c r="B14" s="4" t="inlineStr">
        <is>
          <t>Black text = calculated. Do not overwrite.</t>
        </is>
      </c>
    </row>
    <row r="15">
      <c r="B15" s="4" t="inlineStr">
        <is>
          <t>Green text = pulled from another tab in this workbook.</t>
        </is>
      </c>
    </row>
    <row r="17">
      <c r="B17" s="3" t="inlineStr">
        <is>
          <t>WHAT IS AND IS NOT VERIFIED</t>
        </is>
      </c>
    </row>
    <row r="18">
      <c r="B18" s="4" t="inlineStr">
        <is>
          <t>VERIFIED (Aug 2026 research): PHP/USD ≈ 61.44 · PH pet skin &amp; coat supplement category</t>
        </is>
      </c>
    </row>
    <row r="19">
      <c r="B19" s="4" t="inlineStr">
        <is>
          <t>growing 10.7% CAGR · 64% of PH pet owners bought grooming supplies in past year ·</t>
        </is>
      </c>
    </row>
    <row r="20">
      <c r="B20" s="4" t="inlineStr">
        <is>
          <t>BAI requires SPSIC, Certificate of Free Sale, manufacturer GMP, Zone IVB stability data ·</t>
        </is>
      </c>
    </row>
    <row r="21">
      <c r="B21" s="4" t="inlineStr">
        <is>
          <t>US NASC manufacturers can obtain an FDA Certificate of Free Sale (the document BAI wants).</t>
        </is>
      </c>
    </row>
    <row r="23">
      <c r="B23" s="5" t="inlineStr">
        <is>
          <t>ESTIMATED — REPLACE WITH REAL QUOTES BEFORE COMMITTING CAPITAL:</t>
        </is>
      </c>
    </row>
    <row r="24">
      <c r="B24" s="4" t="inlineStr">
        <is>
          <t>FOB prices, MOQs, freight %, duty rate, BAI registration cost, retail price point,</t>
        </is>
      </c>
    </row>
    <row r="25">
      <c r="B25" s="4" t="inlineStr">
        <is>
          <t>customer acquisition cost, repeat rate. These are placeholders sized from category norms,</t>
        </is>
      </c>
    </row>
    <row r="26">
      <c r="B26" s="4" t="inlineStr">
        <is>
          <t>not quotes. The RFQ in the launch pack is designed to replace the sourcing ones.</t>
        </is>
      </c>
    </row>
    <row r="28">
      <c r="B28" s="3" t="inlineStr">
        <is>
          <t>WHAT THE MODEL SAYS AT THESE PLACEHOLDER NUMBERS</t>
        </is>
      </c>
    </row>
    <row r="29">
      <c r="B29" s="4" t="inlineStr">
        <is>
          <t>Landed cost decides payback, not repeat rate. Tested across both supplier lanes:</t>
        </is>
      </c>
    </row>
    <row r="30">
      <c r="B30" s="4" t="inlineStr">
        <is>
          <t xml:space="preserve">  · China lane (FOB $4.00, MOQ 1,000): capital ≈ PHP 918,000 · payback ≈ month 15</t>
        </is>
      </c>
    </row>
    <row r="31">
      <c r="B31" s="4" t="inlineStr">
        <is>
          <t xml:space="preserve">  · US lane (FOB $7.00, MOQ 2,500): capital ≈ PHP 2,082,000 · payback beyond 24 months</t>
        </is>
      </c>
    </row>
    <row r="32">
      <c r="B32" s="4" t="inlineStr">
        <is>
          <t xml:space="preserve">  · Varying repeat conversion from 10% to 45% moves China payback only 17 → 15 months.</t>
        </is>
      </c>
    </row>
    <row r="33">
      <c r="B33" s="4" t="inlineStr">
        <is>
          <t>Within a 24-month window the ramp is driven by new customers, so unit cost and MOQ</t>
        </is>
      </c>
    </row>
    <row r="34">
      <c r="B34" s="4" t="inlineStr">
        <is>
          <t>dominate. Repeat rate still governs long-run value and every year after year two —</t>
        </is>
      </c>
    </row>
    <row r="35">
      <c r="B35" s="4" t="inlineStr">
        <is>
          <t>track it — but do not let it decide the supplier. The supplier quote decides payback.</t>
        </is>
      </c>
    </row>
    <row r="37">
      <c r="B37" s="5" t="inlineStr">
        <is>
          <t>CONSEQUENCE: the US lane only works if a real quote beats these placeholders —</t>
        </is>
      </c>
    </row>
    <row r="38">
      <c r="B38" s="5" t="inlineStr">
        <is>
          <t>roughly FOB at or below $5.00, or MOQ at or below 1,500. Ask for both in the RFQ.</t>
        </is>
      </c>
    </row>
    <row r="39">
      <c r="B39" s="4" t="inlineStr">
        <is>
          <t>Note too that US-lane wholesale margin lands at ~29%, just under the 30% screen.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52" customWidth="1" min="4" max="4"/>
  </cols>
  <sheetData>
    <row r="2">
      <c r="B2" s="6" t="inlineStr">
        <is>
          <t>ASSUMPTIONS — edit the yellow cells only</t>
        </is>
      </c>
    </row>
    <row r="4">
      <c r="B4" s="7" t="inlineStr">
        <is>
          <t>MACRO &amp; SETUP</t>
        </is>
      </c>
      <c r="C4" s="7" t="n"/>
      <c r="D4" s="7" t="n"/>
    </row>
    <row r="5">
      <c r="B5" s="8" t="inlineStr">
        <is>
          <t>PHP per USD</t>
        </is>
      </c>
      <c r="C5" s="9" t="n">
        <v>61.44</v>
      </c>
      <c r="D5" s="10" t="inlineStr">
        <is>
          <t>Verified: ~61.44, mid-Aug 2026. Stress at 65.</t>
        </is>
      </c>
    </row>
    <row r="6">
      <c r="B6" s="8" t="inlineStr">
        <is>
          <t>Business registration (DTI/BIR/permits)</t>
        </is>
      </c>
      <c r="C6" s="11" t="n">
        <v>50000</v>
      </c>
      <c r="D6" s="10" t="inlineStr">
        <is>
          <t>Estimate</t>
        </is>
      </c>
    </row>
    <row r="7">
      <c r="B7" s="8" t="inlineStr">
        <is>
          <t>Brand, packaging design, label artwork</t>
        </is>
      </c>
      <c r="C7" s="11" t="n">
        <v>120000</v>
      </c>
      <c r="D7" s="10" t="inlineStr">
        <is>
          <t>Estimate — see launch pack</t>
        </is>
      </c>
    </row>
    <row r="8">
      <c r="B8" s="8" t="inlineStr">
        <is>
          <t>BAI registration: consultant + dossier + stability</t>
        </is>
      </c>
      <c r="C8" s="11" t="n">
        <v>300000</v>
      </c>
      <c r="D8" s="10" t="inlineStr">
        <is>
          <t>ESTIMATE. Get a real quote. Kill if &gt;500,000.</t>
        </is>
      </c>
    </row>
    <row r="9">
      <c r="B9" s="8" t="inlineStr">
        <is>
          <t>Registration lead time (months)</t>
        </is>
      </c>
      <c r="C9" s="12" t="n">
        <v>9</v>
      </c>
      <c r="D9" s="10" t="inlineStr">
        <is>
          <t>Estimate 6–12. Sell grooming SKUs meanwhile.</t>
        </is>
      </c>
    </row>
    <row r="11">
      <c r="B11" s="7" t="inlineStr">
        <is>
          <t>SUPPLIER LANE</t>
        </is>
      </c>
      <c r="C11" s="7" t="n"/>
      <c r="D11" s="7" t="n"/>
    </row>
    <row r="12">
      <c r="B12" s="8" t="inlineStr">
        <is>
          <t>Lane: 1 = US/NASC, 2 = China</t>
        </is>
      </c>
      <c r="C12" s="12" t="n">
        <v>1</v>
      </c>
      <c r="D12" s="10" t="inlineStr">
        <is>
          <t>Drives Landed Cost. US wins on BAI paperwork.</t>
        </is>
      </c>
    </row>
    <row r="13">
      <c r="B13" s="8" t="inlineStr">
        <is>
          <t>Selected lane name</t>
        </is>
      </c>
      <c r="C13" s="13">
        <f>IF(C12=1,"US / NASC","China")</f>
        <v/>
      </c>
      <c r="D13" s="10" t="inlineStr"/>
    </row>
    <row r="15">
      <c r="B15" s="7" t="inlineStr">
        <is>
          <t>PRODUCT &amp; PRICING (per 60-count jar)</t>
        </is>
      </c>
      <c r="C15" s="7" t="n"/>
      <c r="D15" s="7" t="n"/>
    </row>
    <row r="16">
      <c r="B16" s="8" t="inlineStr">
        <is>
          <t>Retail price (VAT-inclusive)</t>
        </is>
      </c>
      <c r="C16" s="11" t="n">
        <v>1450</v>
      </c>
      <c r="D16" s="10" t="inlineStr">
        <is>
          <t>ESTIMATE. Imported joint supplements ~1,200–1,800.</t>
        </is>
      </c>
    </row>
    <row r="17">
      <c r="B17" s="8" t="inlineStr">
        <is>
          <t>Wholesale price to salons/pet shops</t>
        </is>
      </c>
      <c r="C17" s="11" t="n">
        <v>800</v>
      </c>
      <c r="D17" s="10" t="inlineStr">
        <is>
          <t>Estimate ~55% of retail</t>
        </is>
      </c>
    </row>
    <row r="18">
      <c r="B18" s="8" t="inlineStr">
        <is>
          <t>Share of units sold direct (e-commerce)</t>
        </is>
      </c>
      <c r="C18" s="14" t="n">
        <v>0.7</v>
      </c>
      <c r="D18" s="10" t="inlineStr">
        <is>
          <t>Balance goes wholesale</t>
        </is>
      </c>
    </row>
    <row r="19">
      <c r="B19" s="8" t="inlineStr">
        <is>
          <t>VAT registered? 1 = yes, 0 = no</t>
        </is>
      </c>
      <c r="C19" s="12" t="n">
        <v>1</v>
      </c>
      <c r="D19" s="10" t="inlineStr">
        <is>
          <t>If yes, import VAT is creditable, not a cost</t>
        </is>
      </c>
    </row>
    <row r="20">
      <c r="B20" s="8" t="inlineStr">
        <is>
          <t>VAT rate</t>
        </is>
      </c>
      <c r="C20" s="14" t="n">
        <v>0.12</v>
      </c>
      <c r="D20" s="10" t="inlineStr">
        <is>
          <t>Statutory 12%</t>
        </is>
      </c>
    </row>
    <row r="22">
      <c r="B22" s="7" t="inlineStr">
        <is>
          <t>DEMAND &amp; RETENTION</t>
        </is>
      </c>
      <c r="C22" s="7" t="n"/>
      <c r="D22" s="7" t="n"/>
    </row>
    <row r="23">
      <c r="B23" s="8" t="inlineStr">
        <is>
          <t>New customers, month 1</t>
        </is>
      </c>
      <c r="C23" s="12" t="n">
        <v>45</v>
      </c>
      <c r="D23" s="10" t="inlineStr">
        <is>
          <t>Estimate</t>
        </is>
      </c>
    </row>
    <row r="24">
      <c r="B24" s="8" t="inlineStr">
        <is>
          <t>Monthly growth in new customers</t>
        </is>
      </c>
      <c r="C24" s="14" t="n">
        <v>0.18</v>
      </c>
      <c r="D24" s="10" t="inlineStr">
        <is>
          <t>Estimate — compounding, capped below</t>
        </is>
      </c>
    </row>
    <row r="25">
      <c r="B25" s="8" t="inlineStr">
        <is>
          <t>Cap on new customers per month</t>
        </is>
      </c>
      <c r="C25" s="12" t="n">
        <v>420</v>
      </c>
      <c r="D25" s="10" t="inlineStr">
        <is>
          <t>Estimate of channel ceiling</t>
        </is>
      </c>
    </row>
    <row r="26">
      <c r="B26" s="8" t="inlineStr">
        <is>
          <t>First-time buyers who become repeaters</t>
        </is>
      </c>
      <c r="C26" s="14" t="n">
        <v>0.35</v>
      </c>
      <c r="D26" s="10" t="inlineStr">
        <is>
          <t>THE KEY NUMBER. Kill play if &lt;15% by month 4.</t>
        </is>
      </c>
    </row>
    <row r="27">
      <c r="B27" s="8" t="inlineStr">
        <is>
          <t>Monthly retention of repeat base</t>
        </is>
      </c>
      <c r="C27" s="14" t="n">
        <v>0.78</v>
      </c>
      <c r="D27" s="10" t="inlineStr">
        <is>
          <t>Estimate</t>
        </is>
      </c>
    </row>
    <row r="28">
      <c r="B28" s="8" t="inlineStr">
        <is>
          <t>Orders per month per active repeater</t>
        </is>
      </c>
      <c r="C28" s="9" t="n">
        <v>0.55</v>
      </c>
      <c r="D28" s="10" t="inlineStr">
        <is>
          <t>0.5 = reorders every 2 months</t>
        </is>
      </c>
    </row>
    <row r="29">
      <c r="B29" s="8" t="inlineStr">
        <is>
          <t>Demand scenario multiplier</t>
        </is>
      </c>
      <c r="C29" s="9" t="n">
        <v>1</v>
      </c>
      <c r="D29" s="10" t="inlineStr">
        <is>
          <t>1.0 = base. Scenarios tab uses 0.6 / 1.0 / 1.5.</t>
        </is>
      </c>
    </row>
    <row r="31">
      <c r="B31" s="7" t="inlineStr">
        <is>
          <t>CHANNEL &amp; OPERATING COSTS</t>
        </is>
      </c>
      <c r="C31" s="7" t="n"/>
      <c r="D31" s="7" t="n"/>
    </row>
    <row r="32">
      <c r="B32" s="8" t="inlineStr">
        <is>
          <t>E-commerce platform fees (% of retail)</t>
        </is>
      </c>
      <c r="C32" s="14" t="n">
        <v>0.13</v>
      </c>
      <c r="D32" s="10" t="inlineStr">
        <is>
          <t>Shopee/TikTok commission + payment</t>
        </is>
      </c>
    </row>
    <row r="33">
      <c r="B33" s="8" t="inlineStr">
        <is>
          <t>Marketing / CAC (% of direct revenue)</t>
        </is>
      </c>
      <c r="C33" s="14" t="n">
        <v>0.15</v>
      </c>
      <c r="D33" s="10" t="inlineStr">
        <is>
          <t>Affiliate + live-selling</t>
        </is>
      </c>
    </row>
    <row r="34">
      <c r="B34" s="8" t="inlineStr">
        <is>
          <t>Manager salary (monthly)</t>
        </is>
      </c>
      <c r="C34" s="11" t="n">
        <v>35000</v>
      </c>
      <c r="D34" s="10" t="inlineStr">
        <is>
          <t>Owner-with-manager model</t>
        </is>
      </c>
    </row>
    <row r="35">
      <c r="B35" s="8" t="inlineStr">
        <is>
          <t>Other fixed monthly (3PL, storage, tools)</t>
        </is>
      </c>
      <c r="C35" s="11" t="n">
        <v>22000</v>
      </c>
      <c r="D35" s="10" t="inlineStr">
        <is>
          <t>Estimate</t>
        </is>
      </c>
    </row>
    <row r="36">
      <c r="B36" s="8" t="inlineStr">
        <is>
          <t>Product returns / spoilage allowance</t>
        </is>
      </c>
      <c r="C36" s="14" t="n">
        <v>0.05</v>
      </c>
      <c r="D36" s="10" t="inlineStr">
        <is>
          <t>Tropical climate — watch soft chews</t>
        </is>
      </c>
    </row>
    <row r="38">
      <c r="B38" s="7" t="inlineStr">
        <is>
          <t>INVENTORY &amp; WORKING CAPITAL</t>
        </is>
      </c>
      <c r="C38" s="7" t="n"/>
      <c r="D38" s="7" t="n"/>
    </row>
    <row r="39">
      <c r="B39" s="8" t="inlineStr">
        <is>
          <t>Contingency buffer on total capital</t>
        </is>
      </c>
      <c r="C39" s="14" t="n">
        <v>0.2</v>
      </c>
      <c r="D39" s="10" t="inlineStr">
        <is>
          <t>Per operating manual</t>
        </is>
      </c>
    </row>
    <row r="40">
      <c r="B40" s="15" t="inlineStr">
        <is>
          <t>Initial order quantity comes from the Landed Cost tab (MOQ).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6" customWidth="1" min="4" max="4"/>
    <col width="44" customWidth="1" min="5" max="5"/>
  </cols>
  <sheetData>
    <row r="2">
      <c r="B2" s="6" t="inlineStr">
        <is>
          <t>LANDED COST — US/NASC vs China</t>
        </is>
      </c>
    </row>
    <row r="3">
      <c r="B3" s="16" t="inlineStr">
        <is>
          <t>Per 60-count jar, landed Manila, first purchase order</t>
        </is>
      </c>
    </row>
    <row r="5">
      <c r="B5" s="17" t="n"/>
      <c r="C5" s="18" t="inlineStr">
        <is>
          <t>US / NASC</t>
        </is>
      </c>
      <c r="D5" s="18" t="inlineStr">
        <is>
          <t>China</t>
        </is>
      </c>
      <c r="E5" s="7" t="inlineStr">
        <is>
          <t>Note</t>
        </is>
      </c>
    </row>
    <row r="6">
      <c r="B6" s="8" t="inlineStr">
        <is>
          <t>FOB price per unit (USD)</t>
        </is>
      </c>
      <c r="C6" s="19" t="n">
        <v>7</v>
      </c>
      <c r="D6" s="19" t="n">
        <v>4</v>
      </c>
      <c r="E6" s="10" t="inlineStr">
        <is>
          <t>ESTIMATE — replace with RFQ quotes</t>
        </is>
      </c>
    </row>
    <row r="7">
      <c r="B7" s="8" t="inlineStr">
        <is>
          <t>Minimum order quantity (units)</t>
        </is>
      </c>
      <c r="C7" s="12" t="n">
        <v>2500</v>
      </c>
      <c r="D7" s="12" t="n">
        <v>1000</v>
      </c>
      <c r="E7" s="10" t="inlineStr">
        <is>
          <t>US MOQs typically higher</t>
        </is>
      </c>
    </row>
    <row r="8">
      <c r="B8" s="8" t="inlineStr">
        <is>
          <t>Freight + insurance (% of FOB value)</t>
        </is>
      </c>
      <c r="C8" s="14" t="n">
        <v>0.12</v>
      </c>
      <c r="D8" s="14" t="n">
        <v>0.1</v>
      </c>
      <c r="E8" s="10" t="inlineStr">
        <is>
          <t>Estimate; China closer, cheaper</t>
        </is>
      </c>
    </row>
    <row r="9">
      <c r="B9" s="8" t="inlineStr">
        <is>
          <t>Customs duty rate</t>
        </is>
      </c>
      <c r="C9" s="14" t="n">
        <v>0.03</v>
      </c>
      <c r="D9" s="14" t="n">
        <v>0</v>
      </c>
      <c r="E9" s="10" t="inlineStr">
        <is>
          <t>China may qualify ACFTA Form E at 0%. CONFIRM HS code with broker.</t>
        </is>
      </c>
    </row>
    <row r="10">
      <c r="B10" s="8" t="inlineStr">
        <is>
          <t>Brokerage, handling, local haulage</t>
        </is>
      </c>
      <c r="C10" s="11" t="n">
        <v>25000</v>
      </c>
      <c r="D10" s="11" t="n">
        <v>25000</v>
      </c>
      <c r="E10" s="10" t="inlineStr">
        <is>
          <t>Per shipment, estimate</t>
        </is>
      </c>
    </row>
    <row r="12">
      <c r="B12" s="8" t="inlineStr">
        <is>
          <t>FOB value (USD)</t>
        </is>
      </c>
      <c r="C12" s="20">
        <f>C6*C7</f>
        <v/>
      </c>
      <c r="D12" s="20">
        <f>D6*D7</f>
        <v/>
      </c>
      <c r="E12" s="10" t="inlineStr"/>
    </row>
    <row r="13">
      <c r="B13" s="8" t="inlineStr">
        <is>
          <t>CIF value (USD)</t>
        </is>
      </c>
      <c r="C13" s="20">
        <f>C12*(1+C8)</f>
        <v/>
      </c>
      <c r="D13" s="20">
        <f>D12*(1+D8)</f>
        <v/>
      </c>
      <c r="E13" s="10" t="inlineStr"/>
    </row>
    <row r="14">
      <c r="B14" s="8" t="inlineStr">
        <is>
          <t>CIF value (PHP)</t>
        </is>
      </c>
      <c r="C14" s="21">
        <f>C13*Assumptions!$C$5</f>
        <v/>
      </c>
      <c r="D14" s="21">
        <f>D13*Assumptions!$C$5</f>
        <v/>
      </c>
      <c r="E14" s="10" t="inlineStr"/>
    </row>
    <row r="15">
      <c r="B15" s="8" t="inlineStr">
        <is>
          <t>Customs duty (PHP)</t>
        </is>
      </c>
      <c r="C15" s="21">
        <f>C14*C9</f>
        <v/>
      </c>
      <c r="D15" s="21">
        <f>D14*D9</f>
        <v/>
      </c>
      <c r="E15" s="10" t="inlineStr"/>
    </row>
    <row r="16">
      <c r="B16" s="8" t="inlineStr">
        <is>
          <t>Import VAT (PHP)</t>
        </is>
      </c>
      <c r="C16" s="21">
        <f>(C14+C15)*Assumptions!$C$20</f>
        <v/>
      </c>
      <c r="D16" s="21">
        <f>(D14+D15)*Assumptions!$C$20</f>
        <v/>
      </c>
      <c r="E16" s="10" t="inlineStr">
        <is>
          <t>Creditable if VAT-registered — excluded from cost below</t>
        </is>
      </c>
    </row>
    <row r="17">
      <c r="B17" s="8" t="inlineStr">
        <is>
          <t>Brokerage &amp; handling (PHP)</t>
        </is>
      </c>
      <c r="C17" s="21">
        <f>C10</f>
        <v/>
      </c>
      <c r="D17" s="21">
        <f>D10</f>
        <v/>
      </c>
      <c r="E17" s="10" t="inlineStr"/>
    </row>
    <row r="18">
      <c r="B18" s="8" t="inlineStr">
        <is>
          <t>TOTAL SHIPMENT COST (PHP, ex-VAT if registered)</t>
        </is>
      </c>
      <c r="C18" s="21">
        <f>C14+C15+C17+IF(Assumptions!$C$19=1,0,C16)</f>
        <v/>
      </c>
      <c r="D18" s="21">
        <f>D14+D15+D17+IF(Assumptions!$C$19=1,0,D16)</f>
        <v/>
      </c>
      <c r="E18" s="10" t="inlineStr"/>
    </row>
    <row r="19">
      <c r="B19" s="22" t="inlineStr">
        <is>
          <t>LANDED COST PER UNIT (PHP)</t>
        </is>
      </c>
      <c r="C19" s="23">
        <f>C18/C7</f>
        <v/>
      </c>
      <c r="D19" s="23">
        <f>D18/D7</f>
        <v/>
      </c>
      <c r="E19" s="10" t="inlineStr">
        <is>
          <t>The number that matters</t>
        </is>
      </c>
    </row>
    <row r="21">
      <c r="B21" s="24" t="inlineStr">
        <is>
          <t>SELECTED LANE (from Assumptions C12)</t>
        </is>
      </c>
    </row>
    <row r="22">
      <c r="B22" s="8" t="inlineStr">
        <is>
          <t>Landed cost per unit</t>
        </is>
      </c>
      <c r="C22" s="25">
        <f>IF(Assumptions!$C$12=1,C19,D19)</f>
        <v/>
      </c>
      <c r="E22" s="10" t="inlineStr"/>
    </row>
    <row r="23">
      <c r="B23" s="8" t="inlineStr">
        <is>
          <t>Initial order quantity (MOQ)</t>
        </is>
      </c>
      <c r="C23" s="26">
        <f>IF(Assumptions!$C$12=1,C7,D7)</f>
        <v/>
      </c>
      <c r="E23" s="10" t="inlineStr"/>
    </row>
    <row r="24">
      <c r="B24" s="8" t="inlineStr">
        <is>
          <t>Initial inventory investment</t>
        </is>
      </c>
      <c r="C24" s="27">
        <f>IF(Assumptions!$C$12=1,C18,D18)</f>
        <v/>
      </c>
      <c r="E24" s="10" t="inlineStr"/>
    </row>
    <row r="25">
      <c r="B25" s="8" t="inlineStr">
        <is>
          <t>Gross margin, direct retail (ex-VAT)</t>
        </is>
      </c>
      <c r="C25" s="28">
        <f>1-C22/(Assumptions!$C$16/(1+Assumptions!$C$20*Assumptions!$C$19))</f>
        <v/>
      </c>
      <c r="E25" s="10" t="inlineStr">
        <is>
          <t>Target 60%+ per operating manual</t>
        </is>
      </c>
    </row>
    <row r="26">
      <c r="B26" s="8" t="inlineStr">
        <is>
          <t>Gross margin, wholesale (ex-VAT)</t>
        </is>
      </c>
      <c r="C26" s="28">
        <f>1-C22/(Assumptions!$C$17/(1+Assumptions!$C$20*Assumptions!$C$19))</f>
        <v/>
      </c>
      <c r="E26" s="10" t="inlineStr">
        <is>
          <t>Target 30%+ per operating manual</t>
        </is>
      </c>
    </row>
    <row r="28">
      <c r="B28" s="24" t="inlineStr">
        <is>
          <t>READING THIS COMPARISON</t>
        </is>
      </c>
    </row>
    <row r="29">
      <c r="B29" s="29" t="inlineStr">
        <is>
          <t>• US/NASC advantage is PAPERWORK: an FDA-registered facility can issue a Certificate of Free Sale,</t>
        </is>
      </c>
    </row>
    <row r="30">
      <c r="B30" s="29" t="inlineStr">
        <is>
          <t xml:space="preserve">   the exact document BAI requires, and NASC certification strengthens the dossier.</t>
        </is>
      </c>
    </row>
    <row r="31">
      <c r="B31" s="29" t="inlineStr">
        <is>
          <t>• China advantage is CASH: at these placeholder prices, far lower landed cost and a much smaller MOQ.</t>
        </is>
      </c>
    </row>
    <row r="32">
      <c r="B32" s="29" t="inlineStr">
        <is>
          <t>• AT THESE PLACEHOLDER NUMBERS THE CHINA LANE WINS ON THE MATH — payback ~15 months versus</t>
        </is>
      </c>
    </row>
    <row r="33">
      <c r="B33" s="29" t="inlineStr">
        <is>
          <t xml:space="preserve">   beyond 24 months for the US lane, which also lands at ~29% wholesale margin, under the 30% screen.</t>
        </is>
      </c>
    </row>
    <row r="34">
      <c r="B34" s="29" t="inlineStr">
        <is>
          <t>• That verdict is only as good as the placeholder FOB and MOQ. The US lane becomes competitive at</t>
        </is>
      </c>
    </row>
    <row r="35">
      <c r="B35" s="29" t="inlineStr">
        <is>
          <t xml:space="preserve">   roughly FOB $5.00 or MOQ 1,500 — which is precisely why the RFQ asks for tiered pricing.</t>
        </is>
      </c>
    </row>
    <row r="36">
      <c r="B36" s="29" t="inlineStr">
        <is>
          <t>• SO: do not choose the lane from this sheet. Get the quotes, put the real numbers in, then choose.</t>
        </is>
      </c>
    </row>
    <row r="37">
      <c r="B37" s="29" t="inlineStr">
        <is>
          <t>• If a China supplier can produce a Certificate of Free Sale and Zone IVb stability data, it wins</t>
        </is>
      </c>
    </row>
    <row r="38">
      <c r="B38" s="29" t="inlineStr">
        <is>
          <t xml:space="preserve">   outright. If none can, the decision becomes: pay the US premium, or have no registration at all.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Z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2">
      <c r="B2" s="6" t="inlineStr">
        <is>
          <t>MONTHLY MODEL — 24 MONTHS</t>
        </is>
      </c>
    </row>
    <row r="3">
      <c r="B3" s="16" t="inlineStr">
        <is>
          <t>Month 1 = first month of sales. Registration runs in parallel before this.</t>
        </is>
      </c>
    </row>
    <row r="5">
      <c r="B5" s="7" t="inlineStr">
        <is>
          <t>Month</t>
        </is>
      </c>
      <c r="C5" s="30" t="n">
        <v>1</v>
      </c>
      <c r="D5" s="30" t="n">
        <v>2</v>
      </c>
      <c r="E5" s="30" t="n">
        <v>3</v>
      </c>
      <c r="F5" s="30" t="n">
        <v>4</v>
      </c>
      <c r="G5" s="30" t="n">
        <v>5</v>
      </c>
      <c r="H5" s="30" t="n">
        <v>6</v>
      </c>
      <c r="I5" s="30" t="n">
        <v>7</v>
      </c>
      <c r="J5" s="30" t="n">
        <v>8</v>
      </c>
      <c r="K5" s="30" t="n">
        <v>9</v>
      </c>
      <c r="L5" s="30" t="n">
        <v>10</v>
      </c>
      <c r="M5" s="30" t="n">
        <v>11</v>
      </c>
      <c r="N5" s="30" t="n">
        <v>12</v>
      </c>
      <c r="O5" s="30" t="n">
        <v>13</v>
      </c>
      <c r="P5" s="30" t="n">
        <v>14</v>
      </c>
      <c r="Q5" s="30" t="n">
        <v>15</v>
      </c>
      <c r="R5" s="30" t="n">
        <v>16</v>
      </c>
      <c r="S5" s="30" t="n">
        <v>17</v>
      </c>
      <c r="T5" s="30" t="n">
        <v>18</v>
      </c>
      <c r="U5" s="30" t="n">
        <v>19</v>
      </c>
      <c r="V5" s="30" t="n">
        <v>20</v>
      </c>
      <c r="W5" s="30" t="n">
        <v>21</v>
      </c>
      <c r="X5" s="30" t="n">
        <v>22</v>
      </c>
      <c r="Y5" s="30" t="n">
        <v>23</v>
      </c>
      <c r="Z5" s="30" t="n">
        <v>24</v>
      </c>
    </row>
    <row r="7">
      <c r="B7" s="24" t="inlineStr">
        <is>
          <t>CUSTOMERS</t>
        </is>
      </c>
    </row>
    <row r="8">
      <c r="B8" s="8" t="inlineStr">
        <is>
          <t>New customers</t>
        </is>
      </c>
      <c r="C8" s="31">
        <f>ROUND(Assumptions!$C$23*Assumptions!$C$29,0)</f>
        <v/>
      </c>
      <c r="D8" s="31">
        <f>ROUND(MIN(C8*(1+Assumptions!$C$24),Assumptions!$C$25*Assumptions!$C$29),0)</f>
        <v/>
      </c>
      <c r="E8" s="31">
        <f>ROUND(MIN(D8*(1+Assumptions!$C$24),Assumptions!$C$25*Assumptions!$C$29),0)</f>
        <v/>
      </c>
      <c r="F8" s="31">
        <f>ROUND(MIN(E8*(1+Assumptions!$C$24),Assumptions!$C$25*Assumptions!$C$29),0)</f>
        <v/>
      </c>
      <c r="G8" s="31">
        <f>ROUND(MIN(F8*(1+Assumptions!$C$24),Assumptions!$C$25*Assumptions!$C$29),0)</f>
        <v/>
      </c>
      <c r="H8" s="31">
        <f>ROUND(MIN(G8*(1+Assumptions!$C$24),Assumptions!$C$25*Assumptions!$C$29),0)</f>
        <v/>
      </c>
      <c r="I8" s="31">
        <f>ROUND(MIN(H8*(1+Assumptions!$C$24),Assumptions!$C$25*Assumptions!$C$29),0)</f>
        <v/>
      </c>
      <c r="J8" s="31">
        <f>ROUND(MIN(I8*(1+Assumptions!$C$24),Assumptions!$C$25*Assumptions!$C$29),0)</f>
        <v/>
      </c>
      <c r="K8" s="31">
        <f>ROUND(MIN(J8*(1+Assumptions!$C$24),Assumptions!$C$25*Assumptions!$C$29),0)</f>
        <v/>
      </c>
      <c r="L8" s="31">
        <f>ROUND(MIN(K8*(1+Assumptions!$C$24),Assumptions!$C$25*Assumptions!$C$29),0)</f>
        <v/>
      </c>
      <c r="M8" s="31">
        <f>ROUND(MIN(L8*(1+Assumptions!$C$24),Assumptions!$C$25*Assumptions!$C$29),0)</f>
        <v/>
      </c>
      <c r="N8" s="31">
        <f>ROUND(MIN(M8*(1+Assumptions!$C$24),Assumptions!$C$25*Assumptions!$C$29),0)</f>
        <v/>
      </c>
      <c r="O8" s="31">
        <f>ROUND(MIN(N8*(1+Assumptions!$C$24),Assumptions!$C$25*Assumptions!$C$29),0)</f>
        <v/>
      </c>
      <c r="P8" s="31">
        <f>ROUND(MIN(O8*(1+Assumptions!$C$24),Assumptions!$C$25*Assumptions!$C$29),0)</f>
        <v/>
      </c>
      <c r="Q8" s="31">
        <f>ROUND(MIN(P8*(1+Assumptions!$C$24),Assumptions!$C$25*Assumptions!$C$29),0)</f>
        <v/>
      </c>
      <c r="R8" s="31">
        <f>ROUND(MIN(Q8*(1+Assumptions!$C$24),Assumptions!$C$25*Assumptions!$C$29),0)</f>
        <v/>
      </c>
      <c r="S8" s="31">
        <f>ROUND(MIN(R8*(1+Assumptions!$C$24),Assumptions!$C$25*Assumptions!$C$29),0)</f>
        <v/>
      </c>
      <c r="T8" s="31">
        <f>ROUND(MIN(S8*(1+Assumptions!$C$24),Assumptions!$C$25*Assumptions!$C$29),0)</f>
        <v/>
      </c>
      <c r="U8" s="31">
        <f>ROUND(MIN(T8*(1+Assumptions!$C$24),Assumptions!$C$25*Assumptions!$C$29),0)</f>
        <v/>
      </c>
      <c r="V8" s="31">
        <f>ROUND(MIN(U8*(1+Assumptions!$C$24),Assumptions!$C$25*Assumptions!$C$29),0)</f>
        <v/>
      </c>
      <c r="W8" s="31">
        <f>ROUND(MIN(V8*(1+Assumptions!$C$24),Assumptions!$C$25*Assumptions!$C$29),0)</f>
        <v/>
      </c>
      <c r="X8" s="31">
        <f>ROUND(MIN(W8*(1+Assumptions!$C$24),Assumptions!$C$25*Assumptions!$C$29),0)</f>
        <v/>
      </c>
      <c r="Y8" s="31">
        <f>ROUND(MIN(X8*(1+Assumptions!$C$24),Assumptions!$C$25*Assumptions!$C$29),0)</f>
        <v/>
      </c>
      <c r="Z8" s="31">
        <f>ROUND(MIN(Y8*(1+Assumptions!$C$24),Assumptions!$C$25*Assumptions!$C$29),0)</f>
        <v/>
      </c>
    </row>
    <row r="9">
      <c r="B9" s="8" t="inlineStr">
        <is>
          <t>Active repeat base</t>
        </is>
      </c>
      <c r="C9" s="31">
        <f>0</f>
        <v/>
      </c>
      <c r="D9" s="31">
        <f>ROUND((C9+C8*Assumptions!$C$26)*Assumptions!$C$27,0)</f>
        <v/>
      </c>
      <c r="E9" s="31">
        <f>ROUND((D9+D8*Assumptions!$C$26)*Assumptions!$C$27,0)</f>
        <v/>
      </c>
      <c r="F9" s="31">
        <f>ROUND((E9+E8*Assumptions!$C$26)*Assumptions!$C$27,0)</f>
        <v/>
      </c>
      <c r="G9" s="31">
        <f>ROUND((F9+F8*Assumptions!$C$26)*Assumptions!$C$27,0)</f>
        <v/>
      </c>
      <c r="H9" s="31">
        <f>ROUND((G9+G8*Assumptions!$C$26)*Assumptions!$C$27,0)</f>
        <v/>
      </c>
      <c r="I9" s="31">
        <f>ROUND((H9+H8*Assumptions!$C$26)*Assumptions!$C$27,0)</f>
        <v/>
      </c>
      <c r="J9" s="31">
        <f>ROUND((I9+I8*Assumptions!$C$26)*Assumptions!$C$27,0)</f>
        <v/>
      </c>
      <c r="K9" s="31">
        <f>ROUND((J9+J8*Assumptions!$C$26)*Assumptions!$C$27,0)</f>
        <v/>
      </c>
      <c r="L9" s="31">
        <f>ROUND((K9+K8*Assumptions!$C$26)*Assumptions!$C$27,0)</f>
        <v/>
      </c>
      <c r="M9" s="31">
        <f>ROUND((L9+L8*Assumptions!$C$26)*Assumptions!$C$27,0)</f>
        <v/>
      </c>
      <c r="N9" s="31">
        <f>ROUND((M9+M8*Assumptions!$C$26)*Assumptions!$C$27,0)</f>
        <v/>
      </c>
      <c r="O9" s="31">
        <f>ROUND((N9+N8*Assumptions!$C$26)*Assumptions!$C$27,0)</f>
        <v/>
      </c>
      <c r="P9" s="31">
        <f>ROUND((O9+O8*Assumptions!$C$26)*Assumptions!$C$27,0)</f>
        <v/>
      </c>
      <c r="Q9" s="31">
        <f>ROUND((P9+P8*Assumptions!$C$26)*Assumptions!$C$27,0)</f>
        <v/>
      </c>
      <c r="R9" s="31">
        <f>ROUND((Q9+Q8*Assumptions!$C$26)*Assumptions!$C$27,0)</f>
        <v/>
      </c>
      <c r="S9" s="31">
        <f>ROUND((R9+R8*Assumptions!$C$26)*Assumptions!$C$27,0)</f>
        <v/>
      </c>
      <c r="T9" s="31">
        <f>ROUND((S9+S8*Assumptions!$C$26)*Assumptions!$C$27,0)</f>
        <v/>
      </c>
      <c r="U9" s="31">
        <f>ROUND((T9+T8*Assumptions!$C$26)*Assumptions!$C$27,0)</f>
        <v/>
      </c>
      <c r="V9" s="31">
        <f>ROUND((U9+U8*Assumptions!$C$26)*Assumptions!$C$27,0)</f>
        <v/>
      </c>
      <c r="W9" s="31">
        <f>ROUND((V9+V8*Assumptions!$C$26)*Assumptions!$C$27,0)</f>
        <v/>
      </c>
      <c r="X9" s="31">
        <f>ROUND((W9+W8*Assumptions!$C$26)*Assumptions!$C$27,0)</f>
        <v/>
      </c>
      <c r="Y9" s="31">
        <f>ROUND((X9+X8*Assumptions!$C$26)*Assumptions!$C$27,0)</f>
        <v/>
      </c>
      <c r="Z9" s="31">
        <f>ROUND((Y9+Y8*Assumptions!$C$26)*Assumptions!$C$27,0)</f>
        <v/>
      </c>
    </row>
    <row r="10">
      <c r="B10" s="8" t="inlineStr">
        <is>
          <t>Repeat orders</t>
        </is>
      </c>
      <c r="C10" s="31">
        <f>0</f>
        <v/>
      </c>
      <c r="D10" s="31">
        <f>D9*Assumptions!$C$28</f>
        <v/>
      </c>
      <c r="E10" s="31">
        <f>E9*Assumptions!$C$28</f>
        <v/>
      </c>
      <c r="F10" s="31">
        <f>F9*Assumptions!$C$28</f>
        <v/>
      </c>
      <c r="G10" s="31">
        <f>G9*Assumptions!$C$28</f>
        <v/>
      </c>
      <c r="H10" s="31">
        <f>H9*Assumptions!$C$28</f>
        <v/>
      </c>
      <c r="I10" s="31">
        <f>I9*Assumptions!$C$28</f>
        <v/>
      </c>
      <c r="J10" s="31">
        <f>J9*Assumptions!$C$28</f>
        <v/>
      </c>
      <c r="K10" s="31">
        <f>K9*Assumptions!$C$28</f>
        <v/>
      </c>
      <c r="L10" s="31">
        <f>L9*Assumptions!$C$28</f>
        <v/>
      </c>
      <c r="M10" s="31">
        <f>M9*Assumptions!$C$28</f>
        <v/>
      </c>
      <c r="N10" s="31">
        <f>N9*Assumptions!$C$28</f>
        <v/>
      </c>
      <c r="O10" s="31">
        <f>O9*Assumptions!$C$28</f>
        <v/>
      </c>
      <c r="P10" s="31">
        <f>P9*Assumptions!$C$28</f>
        <v/>
      </c>
      <c r="Q10" s="31">
        <f>Q9*Assumptions!$C$28</f>
        <v/>
      </c>
      <c r="R10" s="31">
        <f>R9*Assumptions!$C$28</f>
        <v/>
      </c>
      <c r="S10" s="31">
        <f>S9*Assumptions!$C$28</f>
        <v/>
      </c>
      <c r="T10" s="31">
        <f>T9*Assumptions!$C$28</f>
        <v/>
      </c>
      <c r="U10" s="31">
        <f>U9*Assumptions!$C$28</f>
        <v/>
      </c>
      <c r="V10" s="31">
        <f>V9*Assumptions!$C$28</f>
        <v/>
      </c>
      <c r="W10" s="31">
        <f>W9*Assumptions!$C$28</f>
        <v/>
      </c>
      <c r="X10" s="31">
        <f>X9*Assumptions!$C$28</f>
        <v/>
      </c>
      <c r="Y10" s="31">
        <f>Y9*Assumptions!$C$28</f>
        <v/>
      </c>
      <c r="Z10" s="31">
        <f>Z9*Assumptions!$C$28</f>
        <v/>
      </c>
    </row>
    <row r="11">
      <c r="B11" s="22" t="inlineStr">
        <is>
          <t>Total units sold</t>
        </is>
      </c>
      <c r="C11" s="32">
        <f>C8+C10</f>
        <v/>
      </c>
      <c r="D11" s="32">
        <f>D8+D10</f>
        <v/>
      </c>
      <c r="E11" s="32">
        <f>E8+E10</f>
        <v/>
      </c>
      <c r="F11" s="32">
        <f>F8+F10</f>
        <v/>
      </c>
      <c r="G11" s="32">
        <f>G8+G10</f>
        <v/>
      </c>
      <c r="H11" s="32">
        <f>H8+H10</f>
        <v/>
      </c>
      <c r="I11" s="32">
        <f>I8+I10</f>
        <v/>
      </c>
      <c r="J11" s="32">
        <f>J8+J10</f>
        <v/>
      </c>
      <c r="K11" s="32">
        <f>K8+K10</f>
        <v/>
      </c>
      <c r="L11" s="32">
        <f>L8+L10</f>
        <v/>
      </c>
      <c r="M11" s="32">
        <f>M8+M10</f>
        <v/>
      </c>
      <c r="N11" s="32">
        <f>N8+N10</f>
        <v/>
      </c>
      <c r="O11" s="32">
        <f>O8+O10</f>
        <v/>
      </c>
      <c r="P11" s="32">
        <f>P8+P10</f>
        <v/>
      </c>
      <c r="Q11" s="32">
        <f>Q8+Q10</f>
        <v/>
      </c>
      <c r="R11" s="32">
        <f>R8+R10</f>
        <v/>
      </c>
      <c r="S11" s="32">
        <f>S8+S10</f>
        <v/>
      </c>
      <c r="T11" s="32">
        <f>T8+T10</f>
        <v/>
      </c>
      <c r="U11" s="32">
        <f>U8+U10</f>
        <v/>
      </c>
      <c r="V11" s="32">
        <f>V8+V10</f>
        <v/>
      </c>
      <c r="W11" s="32">
        <f>W8+W10</f>
        <v/>
      </c>
      <c r="X11" s="32">
        <f>X8+X10</f>
        <v/>
      </c>
      <c r="Y11" s="32">
        <f>Y8+Y10</f>
        <v/>
      </c>
      <c r="Z11" s="32">
        <f>Z8+Z10</f>
        <v/>
      </c>
    </row>
    <row r="13">
      <c r="B13" s="24" t="inlineStr">
        <is>
          <t>REVENUE</t>
        </is>
      </c>
    </row>
    <row r="14">
      <c r="B14" s="8" t="inlineStr">
        <is>
          <t>Direct units</t>
        </is>
      </c>
      <c r="C14" s="31">
        <f>C11*Assumptions!$C$18</f>
        <v/>
      </c>
      <c r="D14" s="31">
        <f>D11*Assumptions!$C$18</f>
        <v/>
      </c>
      <c r="E14" s="31">
        <f>E11*Assumptions!$C$18</f>
        <v/>
      </c>
      <c r="F14" s="31">
        <f>F11*Assumptions!$C$18</f>
        <v/>
      </c>
      <c r="G14" s="31">
        <f>G11*Assumptions!$C$18</f>
        <v/>
      </c>
      <c r="H14" s="31">
        <f>H11*Assumptions!$C$18</f>
        <v/>
      </c>
      <c r="I14" s="31">
        <f>I11*Assumptions!$C$18</f>
        <v/>
      </c>
      <c r="J14" s="31">
        <f>J11*Assumptions!$C$18</f>
        <v/>
      </c>
      <c r="K14" s="31">
        <f>K11*Assumptions!$C$18</f>
        <v/>
      </c>
      <c r="L14" s="31">
        <f>L11*Assumptions!$C$18</f>
        <v/>
      </c>
      <c r="M14" s="31">
        <f>M11*Assumptions!$C$18</f>
        <v/>
      </c>
      <c r="N14" s="31">
        <f>N11*Assumptions!$C$18</f>
        <v/>
      </c>
      <c r="O14" s="31">
        <f>O11*Assumptions!$C$18</f>
        <v/>
      </c>
      <c r="P14" s="31">
        <f>P11*Assumptions!$C$18</f>
        <v/>
      </c>
      <c r="Q14" s="31">
        <f>Q11*Assumptions!$C$18</f>
        <v/>
      </c>
      <c r="R14" s="31">
        <f>R11*Assumptions!$C$18</f>
        <v/>
      </c>
      <c r="S14" s="31">
        <f>S11*Assumptions!$C$18</f>
        <v/>
      </c>
      <c r="T14" s="31">
        <f>T11*Assumptions!$C$18</f>
        <v/>
      </c>
      <c r="U14" s="31">
        <f>U11*Assumptions!$C$18</f>
        <v/>
      </c>
      <c r="V14" s="31">
        <f>V11*Assumptions!$C$18</f>
        <v/>
      </c>
      <c r="W14" s="31">
        <f>W11*Assumptions!$C$18</f>
        <v/>
      </c>
      <c r="X14" s="31">
        <f>X11*Assumptions!$C$18</f>
        <v/>
      </c>
      <c r="Y14" s="31">
        <f>Y11*Assumptions!$C$18</f>
        <v/>
      </c>
      <c r="Z14" s="31">
        <f>Z11*Assumptions!$C$18</f>
        <v/>
      </c>
    </row>
    <row r="15">
      <c r="B15" s="8" t="inlineStr">
        <is>
          <t>Wholesale units</t>
        </is>
      </c>
      <c r="C15" s="31">
        <f>C11*(1-Assumptions!$C$18)</f>
        <v/>
      </c>
      <c r="D15" s="31">
        <f>D11*(1-Assumptions!$C$18)</f>
        <v/>
      </c>
      <c r="E15" s="31">
        <f>E11*(1-Assumptions!$C$18)</f>
        <v/>
      </c>
      <c r="F15" s="31">
        <f>F11*(1-Assumptions!$C$18)</f>
        <v/>
      </c>
      <c r="G15" s="31">
        <f>G11*(1-Assumptions!$C$18)</f>
        <v/>
      </c>
      <c r="H15" s="31">
        <f>H11*(1-Assumptions!$C$18)</f>
        <v/>
      </c>
      <c r="I15" s="31">
        <f>I11*(1-Assumptions!$C$18)</f>
        <v/>
      </c>
      <c r="J15" s="31">
        <f>J11*(1-Assumptions!$C$18)</f>
        <v/>
      </c>
      <c r="K15" s="31">
        <f>K11*(1-Assumptions!$C$18)</f>
        <v/>
      </c>
      <c r="L15" s="31">
        <f>L11*(1-Assumptions!$C$18)</f>
        <v/>
      </c>
      <c r="M15" s="31">
        <f>M11*(1-Assumptions!$C$18)</f>
        <v/>
      </c>
      <c r="N15" s="31">
        <f>N11*(1-Assumptions!$C$18)</f>
        <v/>
      </c>
      <c r="O15" s="31">
        <f>O11*(1-Assumptions!$C$18)</f>
        <v/>
      </c>
      <c r="P15" s="31">
        <f>P11*(1-Assumptions!$C$18)</f>
        <v/>
      </c>
      <c r="Q15" s="31">
        <f>Q11*(1-Assumptions!$C$18)</f>
        <v/>
      </c>
      <c r="R15" s="31">
        <f>R11*(1-Assumptions!$C$18)</f>
        <v/>
      </c>
      <c r="S15" s="31">
        <f>S11*(1-Assumptions!$C$18)</f>
        <v/>
      </c>
      <c r="T15" s="31">
        <f>T11*(1-Assumptions!$C$18)</f>
        <v/>
      </c>
      <c r="U15" s="31">
        <f>U11*(1-Assumptions!$C$18)</f>
        <v/>
      </c>
      <c r="V15" s="31">
        <f>V11*(1-Assumptions!$C$18)</f>
        <v/>
      </c>
      <c r="W15" s="31">
        <f>W11*(1-Assumptions!$C$18)</f>
        <v/>
      </c>
      <c r="X15" s="31">
        <f>X11*(1-Assumptions!$C$18)</f>
        <v/>
      </c>
      <c r="Y15" s="31">
        <f>Y11*(1-Assumptions!$C$18)</f>
        <v/>
      </c>
      <c r="Z15" s="31">
        <f>Z11*(1-Assumptions!$C$18)</f>
        <v/>
      </c>
    </row>
    <row r="16">
      <c r="B16" s="8" t="inlineStr">
        <is>
          <t>Direct revenue (ex-VAT)</t>
        </is>
      </c>
      <c r="C16" s="33">
        <f>C14*Assumptions!$C$16/(1+Assumptions!$C$20*Assumptions!$C$19)</f>
        <v/>
      </c>
      <c r="D16" s="33">
        <f>D14*Assumptions!$C$16/(1+Assumptions!$C$20*Assumptions!$C$19)</f>
        <v/>
      </c>
      <c r="E16" s="33">
        <f>E14*Assumptions!$C$16/(1+Assumptions!$C$20*Assumptions!$C$19)</f>
        <v/>
      </c>
      <c r="F16" s="33">
        <f>F14*Assumptions!$C$16/(1+Assumptions!$C$20*Assumptions!$C$19)</f>
        <v/>
      </c>
      <c r="G16" s="33">
        <f>G14*Assumptions!$C$16/(1+Assumptions!$C$20*Assumptions!$C$19)</f>
        <v/>
      </c>
      <c r="H16" s="33">
        <f>H14*Assumptions!$C$16/(1+Assumptions!$C$20*Assumptions!$C$19)</f>
        <v/>
      </c>
      <c r="I16" s="33">
        <f>I14*Assumptions!$C$16/(1+Assumptions!$C$20*Assumptions!$C$19)</f>
        <v/>
      </c>
      <c r="J16" s="33">
        <f>J14*Assumptions!$C$16/(1+Assumptions!$C$20*Assumptions!$C$19)</f>
        <v/>
      </c>
      <c r="K16" s="33">
        <f>K14*Assumptions!$C$16/(1+Assumptions!$C$20*Assumptions!$C$19)</f>
        <v/>
      </c>
      <c r="L16" s="33">
        <f>L14*Assumptions!$C$16/(1+Assumptions!$C$20*Assumptions!$C$19)</f>
        <v/>
      </c>
      <c r="M16" s="33">
        <f>M14*Assumptions!$C$16/(1+Assumptions!$C$20*Assumptions!$C$19)</f>
        <v/>
      </c>
      <c r="N16" s="33">
        <f>N14*Assumptions!$C$16/(1+Assumptions!$C$20*Assumptions!$C$19)</f>
        <v/>
      </c>
      <c r="O16" s="33">
        <f>O14*Assumptions!$C$16/(1+Assumptions!$C$20*Assumptions!$C$19)</f>
        <v/>
      </c>
      <c r="P16" s="33">
        <f>P14*Assumptions!$C$16/(1+Assumptions!$C$20*Assumptions!$C$19)</f>
        <v/>
      </c>
      <c r="Q16" s="33">
        <f>Q14*Assumptions!$C$16/(1+Assumptions!$C$20*Assumptions!$C$19)</f>
        <v/>
      </c>
      <c r="R16" s="33">
        <f>R14*Assumptions!$C$16/(1+Assumptions!$C$20*Assumptions!$C$19)</f>
        <v/>
      </c>
      <c r="S16" s="33">
        <f>S14*Assumptions!$C$16/(1+Assumptions!$C$20*Assumptions!$C$19)</f>
        <v/>
      </c>
      <c r="T16" s="33">
        <f>T14*Assumptions!$C$16/(1+Assumptions!$C$20*Assumptions!$C$19)</f>
        <v/>
      </c>
      <c r="U16" s="33">
        <f>U14*Assumptions!$C$16/(1+Assumptions!$C$20*Assumptions!$C$19)</f>
        <v/>
      </c>
      <c r="V16" s="33">
        <f>V14*Assumptions!$C$16/(1+Assumptions!$C$20*Assumptions!$C$19)</f>
        <v/>
      </c>
      <c r="W16" s="33">
        <f>W14*Assumptions!$C$16/(1+Assumptions!$C$20*Assumptions!$C$19)</f>
        <v/>
      </c>
      <c r="X16" s="33">
        <f>X14*Assumptions!$C$16/(1+Assumptions!$C$20*Assumptions!$C$19)</f>
        <v/>
      </c>
      <c r="Y16" s="33">
        <f>Y14*Assumptions!$C$16/(1+Assumptions!$C$20*Assumptions!$C$19)</f>
        <v/>
      </c>
      <c r="Z16" s="33">
        <f>Z14*Assumptions!$C$16/(1+Assumptions!$C$20*Assumptions!$C$19)</f>
        <v/>
      </c>
    </row>
    <row r="17">
      <c r="B17" s="8" t="inlineStr">
        <is>
          <t>Wholesale revenue (ex-VAT)</t>
        </is>
      </c>
      <c r="C17" s="33">
        <f>C15*Assumptions!$C$17/(1+Assumptions!$C$20*Assumptions!$C$19)</f>
        <v/>
      </c>
      <c r="D17" s="33">
        <f>D15*Assumptions!$C$17/(1+Assumptions!$C$20*Assumptions!$C$19)</f>
        <v/>
      </c>
      <c r="E17" s="33">
        <f>E15*Assumptions!$C$17/(1+Assumptions!$C$20*Assumptions!$C$19)</f>
        <v/>
      </c>
      <c r="F17" s="33">
        <f>F15*Assumptions!$C$17/(1+Assumptions!$C$20*Assumptions!$C$19)</f>
        <v/>
      </c>
      <c r="G17" s="33">
        <f>G15*Assumptions!$C$17/(1+Assumptions!$C$20*Assumptions!$C$19)</f>
        <v/>
      </c>
      <c r="H17" s="33">
        <f>H15*Assumptions!$C$17/(1+Assumptions!$C$20*Assumptions!$C$19)</f>
        <v/>
      </c>
      <c r="I17" s="33">
        <f>I15*Assumptions!$C$17/(1+Assumptions!$C$20*Assumptions!$C$19)</f>
        <v/>
      </c>
      <c r="J17" s="33">
        <f>J15*Assumptions!$C$17/(1+Assumptions!$C$20*Assumptions!$C$19)</f>
        <v/>
      </c>
      <c r="K17" s="33">
        <f>K15*Assumptions!$C$17/(1+Assumptions!$C$20*Assumptions!$C$19)</f>
        <v/>
      </c>
      <c r="L17" s="33">
        <f>L15*Assumptions!$C$17/(1+Assumptions!$C$20*Assumptions!$C$19)</f>
        <v/>
      </c>
      <c r="M17" s="33">
        <f>M15*Assumptions!$C$17/(1+Assumptions!$C$20*Assumptions!$C$19)</f>
        <v/>
      </c>
      <c r="N17" s="33">
        <f>N15*Assumptions!$C$17/(1+Assumptions!$C$20*Assumptions!$C$19)</f>
        <v/>
      </c>
      <c r="O17" s="33">
        <f>O15*Assumptions!$C$17/(1+Assumptions!$C$20*Assumptions!$C$19)</f>
        <v/>
      </c>
      <c r="P17" s="33">
        <f>P15*Assumptions!$C$17/(1+Assumptions!$C$20*Assumptions!$C$19)</f>
        <v/>
      </c>
      <c r="Q17" s="33">
        <f>Q15*Assumptions!$C$17/(1+Assumptions!$C$20*Assumptions!$C$19)</f>
        <v/>
      </c>
      <c r="R17" s="33">
        <f>R15*Assumptions!$C$17/(1+Assumptions!$C$20*Assumptions!$C$19)</f>
        <v/>
      </c>
      <c r="S17" s="33">
        <f>S15*Assumptions!$C$17/(1+Assumptions!$C$20*Assumptions!$C$19)</f>
        <v/>
      </c>
      <c r="T17" s="33">
        <f>T15*Assumptions!$C$17/(1+Assumptions!$C$20*Assumptions!$C$19)</f>
        <v/>
      </c>
      <c r="U17" s="33">
        <f>U15*Assumptions!$C$17/(1+Assumptions!$C$20*Assumptions!$C$19)</f>
        <v/>
      </c>
      <c r="V17" s="33">
        <f>V15*Assumptions!$C$17/(1+Assumptions!$C$20*Assumptions!$C$19)</f>
        <v/>
      </c>
      <c r="W17" s="33">
        <f>W15*Assumptions!$C$17/(1+Assumptions!$C$20*Assumptions!$C$19)</f>
        <v/>
      </c>
      <c r="X17" s="33">
        <f>X15*Assumptions!$C$17/(1+Assumptions!$C$20*Assumptions!$C$19)</f>
        <v/>
      </c>
      <c r="Y17" s="33">
        <f>Y15*Assumptions!$C$17/(1+Assumptions!$C$20*Assumptions!$C$19)</f>
        <v/>
      </c>
      <c r="Z17" s="33">
        <f>Z15*Assumptions!$C$17/(1+Assumptions!$C$20*Assumptions!$C$19)</f>
        <v/>
      </c>
    </row>
    <row r="18">
      <c r="B18" s="22" t="inlineStr">
        <is>
          <t>Total revenue</t>
        </is>
      </c>
      <c r="C18" s="34">
        <f>C16+C17</f>
        <v/>
      </c>
      <c r="D18" s="34">
        <f>D16+D17</f>
        <v/>
      </c>
      <c r="E18" s="34">
        <f>E16+E17</f>
        <v/>
      </c>
      <c r="F18" s="34">
        <f>F16+F17</f>
        <v/>
      </c>
      <c r="G18" s="34">
        <f>G16+G17</f>
        <v/>
      </c>
      <c r="H18" s="34">
        <f>H16+H17</f>
        <v/>
      </c>
      <c r="I18" s="34">
        <f>I16+I17</f>
        <v/>
      </c>
      <c r="J18" s="34">
        <f>J16+J17</f>
        <v/>
      </c>
      <c r="K18" s="34">
        <f>K16+K17</f>
        <v/>
      </c>
      <c r="L18" s="34">
        <f>L16+L17</f>
        <v/>
      </c>
      <c r="M18" s="34">
        <f>M16+M17</f>
        <v/>
      </c>
      <c r="N18" s="34">
        <f>N16+N17</f>
        <v/>
      </c>
      <c r="O18" s="34">
        <f>O16+O17</f>
        <v/>
      </c>
      <c r="P18" s="34">
        <f>P16+P17</f>
        <v/>
      </c>
      <c r="Q18" s="34">
        <f>Q16+Q17</f>
        <v/>
      </c>
      <c r="R18" s="34">
        <f>R16+R17</f>
        <v/>
      </c>
      <c r="S18" s="34">
        <f>S16+S17</f>
        <v/>
      </c>
      <c r="T18" s="34">
        <f>T16+T17</f>
        <v/>
      </c>
      <c r="U18" s="34">
        <f>U16+U17</f>
        <v/>
      </c>
      <c r="V18" s="34">
        <f>V16+V17</f>
        <v/>
      </c>
      <c r="W18" s="34">
        <f>W16+W17</f>
        <v/>
      </c>
      <c r="X18" s="34">
        <f>X16+X17</f>
        <v/>
      </c>
      <c r="Y18" s="34">
        <f>Y16+Y17</f>
        <v/>
      </c>
      <c r="Z18" s="34">
        <f>Z16+Z17</f>
        <v/>
      </c>
    </row>
    <row r="20">
      <c r="B20" s="24" t="inlineStr">
        <is>
          <t>COSTS</t>
        </is>
      </c>
    </row>
    <row r="21">
      <c r="B21" s="8" t="inlineStr">
        <is>
          <t>COGS (landed)</t>
        </is>
      </c>
      <c r="C21" s="33">
        <f>C11*'Landed Cost'!$C$22</f>
        <v/>
      </c>
      <c r="D21" s="33">
        <f>D11*'Landed Cost'!$C$22</f>
        <v/>
      </c>
      <c r="E21" s="33">
        <f>E11*'Landed Cost'!$C$22</f>
        <v/>
      </c>
      <c r="F21" s="33">
        <f>F11*'Landed Cost'!$C$22</f>
        <v/>
      </c>
      <c r="G21" s="33">
        <f>G11*'Landed Cost'!$C$22</f>
        <v/>
      </c>
      <c r="H21" s="33">
        <f>H11*'Landed Cost'!$C$22</f>
        <v/>
      </c>
      <c r="I21" s="33">
        <f>I11*'Landed Cost'!$C$22</f>
        <v/>
      </c>
      <c r="J21" s="33">
        <f>J11*'Landed Cost'!$C$22</f>
        <v/>
      </c>
      <c r="K21" s="33">
        <f>K11*'Landed Cost'!$C$22</f>
        <v/>
      </c>
      <c r="L21" s="33">
        <f>L11*'Landed Cost'!$C$22</f>
        <v/>
      </c>
      <c r="M21" s="33">
        <f>M11*'Landed Cost'!$C$22</f>
        <v/>
      </c>
      <c r="N21" s="33">
        <f>N11*'Landed Cost'!$C$22</f>
        <v/>
      </c>
      <c r="O21" s="33">
        <f>O11*'Landed Cost'!$C$22</f>
        <v/>
      </c>
      <c r="P21" s="33">
        <f>P11*'Landed Cost'!$C$22</f>
        <v/>
      </c>
      <c r="Q21" s="33">
        <f>Q11*'Landed Cost'!$C$22</f>
        <v/>
      </c>
      <c r="R21" s="33">
        <f>R11*'Landed Cost'!$C$22</f>
        <v/>
      </c>
      <c r="S21" s="33">
        <f>S11*'Landed Cost'!$C$22</f>
        <v/>
      </c>
      <c r="T21" s="33">
        <f>T11*'Landed Cost'!$C$22</f>
        <v/>
      </c>
      <c r="U21" s="33">
        <f>U11*'Landed Cost'!$C$22</f>
        <v/>
      </c>
      <c r="V21" s="33">
        <f>V11*'Landed Cost'!$C$22</f>
        <v/>
      </c>
      <c r="W21" s="33">
        <f>W11*'Landed Cost'!$C$22</f>
        <v/>
      </c>
      <c r="X21" s="33">
        <f>X11*'Landed Cost'!$C$22</f>
        <v/>
      </c>
      <c r="Y21" s="33">
        <f>Y11*'Landed Cost'!$C$22</f>
        <v/>
      </c>
      <c r="Z21" s="33">
        <f>Z11*'Landed Cost'!$C$22</f>
        <v/>
      </c>
    </row>
    <row r="22">
      <c r="B22" s="8" t="inlineStr">
        <is>
          <t>Returns / spoilage</t>
        </is>
      </c>
      <c r="C22" s="33">
        <f>C18*Assumptions!$C$36</f>
        <v/>
      </c>
      <c r="D22" s="33">
        <f>D18*Assumptions!$C$36</f>
        <v/>
      </c>
      <c r="E22" s="33">
        <f>E18*Assumptions!$C$36</f>
        <v/>
      </c>
      <c r="F22" s="33">
        <f>F18*Assumptions!$C$36</f>
        <v/>
      </c>
      <c r="G22" s="33">
        <f>G18*Assumptions!$C$36</f>
        <v/>
      </c>
      <c r="H22" s="33">
        <f>H18*Assumptions!$C$36</f>
        <v/>
      </c>
      <c r="I22" s="33">
        <f>I18*Assumptions!$C$36</f>
        <v/>
      </c>
      <c r="J22" s="33">
        <f>J18*Assumptions!$C$36</f>
        <v/>
      </c>
      <c r="K22" s="33">
        <f>K18*Assumptions!$C$36</f>
        <v/>
      </c>
      <c r="L22" s="33">
        <f>L18*Assumptions!$C$36</f>
        <v/>
      </c>
      <c r="M22" s="33">
        <f>M18*Assumptions!$C$36</f>
        <v/>
      </c>
      <c r="N22" s="33">
        <f>N18*Assumptions!$C$36</f>
        <v/>
      </c>
      <c r="O22" s="33">
        <f>O18*Assumptions!$C$36</f>
        <v/>
      </c>
      <c r="P22" s="33">
        <f>P18*Assumptions!$C$36</f>
        <v/>
      </c>
      <c r="Q22" s="33">
        <f>Q18*Assumptions!$C$36</f>
        <v/>
      </c>
      <c r="R22" s="33">
        <f>R18*Assumptions!$C$36</f>
        <v/>
      </c>
      <c r="S22" s="33">
        <f>S18*Assumptions!$C$36</f>
        <v/>
      </c>
      <c r="T22" s="33">
        <f>T18*Assumptions!$C$36</f>
        <v/>
      </c>
      <c r="U22" s="33">
        <f>U18*Assumptions!$C$36</f>
        <v/>
      </c>
      <c r="V22" s="33">
        <f>V18*Assumptions!$C$36</f>
        <v/>
      </c>
      <c r="W22" s="33">
        <f>W18*Assumptions!$C$36</f>
        <v/>
      </c>
      <c r="X22" s="33">
        <f>X18*Assumptions!$C$36</f>
        <v/>
      </c>
      <c r="Y22" s="33">
        <f>Y18*Assumptions!$C$36</f>
        <v/>
      </c>
      <c r="Z22" s="33">
        <f>Z18*Assumptions!$C$36</f>
        <v/>
      </c>
    </row>
    <row r="23">
      <c r="B23" s="22" t="inlineStr">
        <is>
          <t>Gross profit</t>
        </is>
      </c>
      <c r="C23" s="34">
        <f>C18-C21-C22</f>
        <v/>
      </c>
      <c r="D23" s="34">
        <f>D18-D21-D22</f>
        <v/>
      </c>
      <c r="E23" s="34">
        <f>E18-E21-E22</f>
        <v/>
      </c>
      <c r="F23" s="34">
        <f>F18-F21-F22</f>
        <v/>
      </c>
      <c r="G23" s="34">
        <f>G18-G21-G22</f>
        <v/>
      </c>
      <c r="H23" s="34">
        <f>H18-H21-H22</f>
        <v/>
      </c>
      <c r="I23" s="34">
        <f>I18-I21-I22</f>
        <v/>
      </c>
      <c r="J23" s="34">
        <f>J18-J21-J22</f>
        <v/>
      </c>
      <c r="K23" s="34">
        <f>K18-K21-K22</f>
        <v/>
      </c>
      <c r="L23" s="34">
        <f>L18-L21-L22</f>
        <v/>
      </c>
      <c r="M23" s="34">
        <f>M18-M21-M22</f>
        <v/>
      </c>
      <c r="N23" s="34">
        <f>N18-N21-N22</f>
        <v/>
      </c>
      <c r="O23" s="34">
        <f>O18-O21-O22</f>
        <v/>
      </c>
      <c r="P23" s="34">
        <f>P18-P21-P22</f>
        <v/>
      </c>
      <c r="Q23" s="34">
        <f>Q18-Q21-Q22</f>
        <v/>
      </c>
      <c r="R23" s="34">
        <f>R18-R21-R22</f>
        <v/>
      </c>
      <c r="S23" s="34">
        <f>S18-S21-S22</f>
        <v/>
      </c>
      <c r="T23" s="34">
        <f>T18-T21-T22</f>
        <v/>
      </c>
      <c r="U23" s="34">
        <f>U18-U21-U22</f>
        <v/>
      </c>
      <c r="V23" s="34">
        <f>V18-V21-V22</f>
        <v/>
      </c>
      <c r="W23" s="34">
        <f>W18-W21-W22</f>
        <v/>
      </c>
      <c r="X23" s="34">
        <f>X18-X21-X22</f>
        <v/>
      </c>
      <c r="Y23" s="34">
        <f>Y18-Y21-Y22</f>
        <v/>
      </c>
      <c r="Z23" s="34">
        <f>Z18-Z21-Z22</f>
        <v/>
      </c>
    </row>
    <row r="24">
      <c r="B24" s="8" t="inlineStr">
        <is>
          <t>Platform fees</t>
        </is>
      </c>
      <c r="C24" s="33">
        <f>C16*Assumptions!$C$32</f>
        <v/>
      </c>
      <c r="D24" s="33">
        <f>D16*Assumptions!$C$32</f>
        <v/>
      </c>
      <c r="E24" s="33">
        <f>E16*Assumptions!$C$32</f>
        <v/>
      </c>
      <c r="F24" s="33">
        <f>F16*Assumptions!$C$32</f>
        <v/>
      </c>
      <c r="G24" s="33">
        <f>G16*Assumptions!$C$32</f>
        <v/>
      </c>
      <c r="H24" s="33">
        <f>H16*Assumptions!$C$32</f>
        <v/>
      </c>
      <c r="I24" s="33">
        <f>I16*Assumptions!$C$32</f>
        <v/>
      </c>
      <c r="J24" s="33">
        <f>J16*Assumptions!$C$32</f>
        <v/>
      </c>
      <c r="K24" s="33">
        <f>K16*Assumptions!$C$32</f>
        <v/>
      </c>
      <c r="L24" s="33">
        <f>L16*Assumptions!$C$32</f>
        <v/>
      </c>
      <c r="M24" s="33">
        <f>M16*Assumptions!$C$32</f>
        <v/>
      </c>
      <c r="N24" s="33">
        <f>N16*Assumptions!$C$32</f>
        <v/>
      </c>
      <c r="O24" s="33">
        <f>O16*Assumptions!$C$32</f>
        <v/>
      </c>
      <c r="P24" s="33">
        <f>P16*Assumptions!$C$32</f>
        <v/>
      </c>
      <c r="Q24" s="33">
        <f>Q16*Assumptions!$C$32</f>
        <v/>
      </c>
      <c r="R24" s="33">
        <f>R16*Assumptions!$C$32</f>
        <v/>
      </c>
      <c r="S24" s="33">
        <f>S16*Assumptions!$C$32</f>
        <v/>
      </c>
      <c r="T24" s="33">
        <f>T16*Assumptions!$C$32</f>
        <v/>
      </c>
      <c r="U24" s="33">
        <f>U16*Assumptions!$C$32</f>
        <v/>
      </c>
      <c r="V24" s="33">
        <f>V16*Assumptions!$C$32</f>
        <v/>
      </c>
      <c r="W24" s="33">
        <f>W16*Assumptions!$C$32</f>
        <v/>
      </c>
      <c r="X24" s="33">
        <f>X16*Assumptions!$C$32</f>
        <v/>
      </c>
      <c r="Y24" s="33">
        <f>Y16*Assumptions!$C$32</f>
        <v/>
      </c>
      <c r="Z24" s="33">
        <f>Z16*Assumptions!$C$32</f>
        <v/>
      </c>
    </row>
    <row r="25">
      <c r="B25" s="8" t="inlineStr">
        <is>
          <t>Marketing / CAC</t>
        </is>
      </c>
      <c r="C25" s="33">
        <f>C16*Assumptions!$C$33</f>
        <v/>
      </c>
      <c r="D25" s="33">
        <f>D16*Assumptions!$C$33</f>
        <v/>
      </c>
      <c r="E25" s="33">
        <f>E16*Assumptions!$C$33</f>
        <v/>
      </c>
      <c r="F25" s="33">
        <f>F16*Assumptions!$C$33</f>
        <v/>
      </c>
      <c r="G25" s="33">
        <f>G16*Assumptions!$C$33</f>
        <v/>
      </c>
      <c r="H25" s="33">
        <f>H16*Assumptions!$C$33</f>
        <v/>
      </c>
      <c r="I25" s="33">
        <f>I16*Assumptions!$C$33</f>
        <v/>
      </c>
      <c r="J25" s="33">
        <f>J16*Assumptions!$C$33</f>
        <v/>
      </c>
      <c r="K25" s="33">
        <f>K16*Assumptions!$C$33</f>
        <v/>
      </c>
      <c r="L25" s="33">
        <f>L16*Assumptions!$C$33</f>
        <v/>
      </c>
      <c r="M25" s="33">
        <f>M16*Assumptions!$C$33</f>
        <v/>
      </c>
      <c r="N25" s="33">
        <f>N16*Assumptions!$C$33</f>
        <v/>
      </c>
      <c r="O25" s="33">
        <f>O16*Assumptions!$C$33</f>
        <v/>
      </c>
      <c r="P25" s="33">
        <f>P16*Assumptions!$C$33</f>
        <v/>
      </c>
      <c r="Q25" s="33">
        <f>Q16*Assumptions!$C$33</f>
        <v/>
      </c>
      <c r="R25" s="33">
        <f>R16*Assumptions!$C$33</f>
        <v/>
      </c>
      <c r="S25" s="33">
        <f>S16*Assumptions!$C$33</f>
        <v/>
      </c>
      <c r="T25" s="33">
        <f>T16*Assumptions!$C$33</f>
        <v/>
      </c>
      <c r="U25" s="33">
        <f>U16*Assumptions!$C$33</f>
        <v/>
      </c>
      <c r="V25" s="33">
        <f>V16*Assumptions!$C$33</f>
        <v/>
      </c>
      <c r="W25" s="33">
        <f>W16*Assumptions!$C$33</f>
        <v/>
      </c>
      <c r="X25" s="33">
        <f>X16*Assumptions!$C$33</f>
        <v/>
      </c>
      <c r="Y25" s="33">
        <f>Y16*Assumptions!$C$33</f>
        <v/>
      </c>
      <c r="Z25" s="33">
        <f>Z16*Assumptions!$C$33</f>
        <v/>
      </c>
    </row>
    <row r="26">
      <c r="B26" s="8" t="inlineStr">
        <is>
          <t>Manager salary</t>
        </is>
      </c>
      <c r="C26" s="33">
        <f>Assumptions!$C$34</f>
        <v/>
      </c>
      <c r="D26" s="33">
        <f>Assumptions!$C$34</f>
        <v/>
      </c>
      <c r="E26" s="33">
        <f>Assumptions!$C$34</f>
        <v/>
      </c>
      <c r="F26" s="33">
        <f>Assumptions!$C$34</f>
        <v/>
      </c>
      <c r="G26" s="33">
        <f>Assumptions!$C$34</f>
        <v/>
      </c>
      <c r="H26" s="33">
        <f>Assumptions!$C$34</f>
        <v/>
      </c>
      <c r="I26" s="33">
        <f>Assumptions!$C$34</f>
        <v/>
      </c>
      <c r="J26" s="33">
        <f>Assumptions!$C$34</f>
        <v/>
      </c>
      <c r="K26" s="33">
        <f>Assumptions!$C$34</f>
        <v/>
      </c>
      <c r="L26" s="33">
        <f>Assumptions!$C$34</f>
        <v/>
      </c>
      <c r="M26" s="33">
        <f>Assumptions!$C$34</f>
        <v/>
      </c>
      <c r="N26" s="33">
        <f>Assumptions!$C$34</f>
        <v/>
      </c>
      <c r="O26" s="33">
        <f>Assumptions!$C$34</f>
        <v/>
      </c>
      <c r="P26" s="33">
        <f>Assumptions!$C$34</f>
        <v/>
      </c>
      <c r="Q26" s="33">
        <f>Assumptions!$C$34</f>
        <v/>
      </c>
      <c r="R26" s="33">
        <f>Assumptions!$C$34</f>
        <v/>
      </c>
      <c r="S26" s="33">
        <f>Assumptions!$C$34</f>
        <v/>
      </c>
      <c r="T26" s="33">
        <f>Assumptions!$C$34</f>
        <v/>
      </c>
      <c r="U26" s="33">
        <f>Assumptions!$C$34</f>
        <v/>
      </c>
      <c r="V26" s="33">
        <f>Assumptions!$C$34</f>
        <v/>
      </c>
      <c r="W26" s="33">
        <f>Assumptions!$C$34</f>
        <v/>
      </c>
      <c r="X26" s="33">
        <f>Assumptions!$C$34</f>
        <v/>
      </c>
      <c r="Y26" s="33">
        <f>Assumptions!$C$34</f>
        <v/>
      </c>
      <c r="Z26" s="33">
        <f>Assumptions!$C$34</f>
        <v/>
      </c>
    </row>
    <row r="27">
      <c r="B27" s="8" t="inlineStr">
        <is>
          <t>Other fixed costs</t>
        </is>
      </c>
      <c r="C27" s="33">
        <f>Assumptions!$C$35</f>
        <v/>
      </c>
      <c r="D27" s="33">
        <f>Assumptions!$C$35</f>
        <v/>
      </c>
      <c r="E27" s="33">
        <f>Assumptions!$C$35</f>
        <v/>
      </c>
      <c r="F27" s="33">
        <f>Assumptions!$C$35</f>
        <v/>
      </c>
      <c r="G27" s="33">
        <f>Assumptions!$C$35</f>
        <v/>
      </c>
      <c r="H27" s="33">
        <f>Assumptions!$C$35</f>
        <v/>
      </c>
      <c r="I27" s="33">
        <f>Assumptions!$C$35</f>
        <v/>
      </c>
      <c r="J27" s="33">
        <f>Assumptions!$C$35</f>
        <v/>
      </c>
      <c r="K27" s="33">
        <f>Assumptions!$C$35</f>
        <v/>
      </c>
      <c r="L27" s="33">
        <f>Assumptions!$C$35</f>
        <v/>
      </c>
      <c r="M27" s="33">
        <f>Assumptions!$C$35</f>
        <v/>
      </c>
      <c r="N27" s="33">
        <f>Assumptions!$C$35</f>
        <v/>
      </c>
      <c r="O27" s="33">
        <f>Assumptions!$C$35</f>
        <v/>
      </c>
      <c r="P27" s="33">
        <f>Assumptions!$C$35</f>
        <v/>
      </c>
      <c r="Q27" s="33">
        <f>Assumptions!$C$35</f>
        <v/>
      </c>
      <c r="R27" s="33">
        <f>Assumptions!$C$35</f>
        <v/>
      </c>
      <c r="S27" s="33">
        <f>Assumptions!$C$35</f>
        <v/>
      </c>
      <c r="T27" s="33">
        <f>Assumptions!$C$35</f>
        <v/>
      </c>
      <c r="U27" s="33">
        <f>Assumptions!$C$35</f>
        <v/>
      </c>
      <c r="V27" s="33">
        <f>Assumptions!$C$35</f>
        <v/>
      </c>
      <c r="W27" s="33">
        <f>Assumptions!$C$35</f>
        <v/>
      </c>
      <c r="X27" s="33">
        <f>Assumptions!$C$35</f>
        <v/>
      </c>
      <c r="Y27" s="33">
        <f>Assumptions!$C$35</f>
        <v/>
      </c>
      <c r="Z27" s="33">
        <f>Assumptions!$C$35</f>
        <v/>
      </c>
    </row>
    <row r="28">
      <c r="B28" s="8" t="inlineStr">
        <is>
          <t>Total operating costs</t>
        </is>
      </c>
      <c r="C28" s="33">
        <f>SUM(C24:C27)</f>
        <v/>
      </c>
      <c r="D28" s="33">
        <f>SUM(D24:D27)</f>
        <v/>
      </c>
      <c r="E28" s="33">
        <f>SUM(E24:E27)</f>
        <v/>
      </c>
      <c r="F28" s="33">
        <f>SUM(F24:F27)</f>
        <v/>
      </c>
      <c r="G28" s="33">
        <f>SUM(G24:G27)</f>
        <v/>
      </c>
      <c r="H28" s="33">
        <f>SUM(H24:H27)</f>
        <v/>
      </c>
      <c r="I28" s="33">
        <f>SUM(I24:I27)</f>
        <v/>
      </c>
      <c r="J28" s="33">
        <f>SUM(J24:J27)</f>
        <v/>
      </c>
      <c r="K28" s="33">
        <f>SUM(K24:K27)</f>
        <v/>
      </c>
      <c r="L28" s="33">
        <f>SUM(L24:L27)</f>
        <v/>
      </c>
      <c r="M28" s="33">
        <f>SUM(M24:M27)</f>
        <v/>
      </c>
      <c r="N28" s="33">
        <f>SUM(N24:N27)</f>
        <v/>
      </c>
      <c r="O28" s="33">
        <f>SUM(O24:O27)</f>
        <v/>
      </c>
      <c r="P28" s="33">
        <f>SUM(P24:P27)</f>
        <v/>
      </c>
      <c r="Q28" s="33">
        <f>SUM(Q24:Q27)</f>
        <v/>
      </c>
      <c r="R28" s="33">
        <f>SUM(R24:R27)</f>
        <v/>
      </c>
      <c r="S28" s="33">
        <f>SUM(S24:S27)</f>
        <v/>
      </c>
      <c r="T28" s="33">
        <f>SUM(T24:T27)</f>
        <v/>
      </c>
      <c r="U28" s="33">
        <f>SUM(U24:U27)</f>
        <v/>
      </c>
      <c r="V28" s="33">
        <f>SUM(V24:V27)</f>
        <v/>
      </c>
      <c r="W28" s="33">
        <f>SUM(W24:W27)</f>
        <v/>
      </c>
      <c r="X28" s="33">
        <f>SUM(X24:X27)</f>
        <v/>
      </c>
      <c r="Y28" s="33">
        <f>SUM(Y24:Y27)</f>
        <v/>
      </c>
      <c r="Z28" s="33">
        <f>SUM(Z24:Z27)</f>
        <v/>
      </c>
    </row>
    <row r="30">
      <c r="B30" s="24" t="inlineStr">
        <is>
          <t>PROFIT &amp; CASH</t>
        </is>
      </c>
    </row>
    <row r="31">
      <c r="B31" s="35" t="inlineStr">
        <is>
          <t>EBITDA</t>
        </is>
      </c>
      <c r="C31" s="36">
        <f>C23-C28</f>
        <v/>
      </c>
      <c r="D31" s="36">
        <f>D23-D28</f>
        <v/>
      </c>
      <c r="E31" s="36">
        <f>E23-E28</f>
        <v/>
      </c>
      <c r="F31" s="36">
        <f>F23-F28</f>
        <v/>
      </c>
      <c r="G31" s="36">
        <f>G23-G28</f>
        <v/>
      </c>
      <c r="H31" s="36">
        <f>H23-H28</f>
        <v/>
      </c>
      <c r="I31" s="36">
        <f>I23-I28</f>
        <v/>
      </c>
      <c r="J31" s="36">
        <f>J23-J28</f>
        <v/>
      </c>
      <c r="K31" s="36">
        <f>K23-K28</f>
        <v/>
      </c>
      <c r="L31" s="36">
        <f>L23-L28</f>
        <v/>
      </c>
      <c r="M31" s="36">
        <f>M23-M28</f>
        <v/>
      </c>
      <c r="N31" s="36">
        <f>N23-N28</f>
        <v/>
      </c>
      <c r="O31" s="36">
        <f>O23-O28</f>
        <v/>
      </c>
      <c r="P31" s="36">
        <f>P23-P28</f>
        <v/>
      </c>
      <c r="Q31" s="36">
        <f>Q23-Q28</f>
        <v/>
      </c>
      <c r="R31" s="36">
        <f>R23-R28</f>
        <v/>
      </c>
      <c r="S31" s="36">
        <f>S23-S28</f>
        <v/>
      </c>
      <c r="T31" s="36">
        <f>T23-T28</f>
        <v/>
      </c>
      <c r="U31" s="36">
        <f>U23-U28</f>
        <v/>
      </c>
      <c r="V31" s="36">
        <f>V23-V28</f>
        <v/>
      </c>
      <c r="W31" s="36">
        <f>W23-W28</f>
        <v/>
      </c>
      <c r="X31" s="36">
        <f>X23-X28</f>
        <v/>
      </c>
      <c r="Y31" s="36">
        <f>Y23-Y28</f>
        <v/>
      </c>
      <c r="Z31" s="36">
        <f>Z23-Z28</f>
        <v/>
      </c>
    </row>
    <row r="32">
      <c r="B32" s="8" t="inlineStr">
        <is>
          <t>Cumulative EBITDA</t>
        </is>
      </c>
      <c r="C32" s="33">
        <f>C31</f>
        <v/>
      </c>
      <c r="D32" s="33">
        <f>C32+D31</f>
        <v/>
      </c>
      <c r="E32" s="33">
        <f>D32+E31</f>
        <v/>
      </c>
      <c r="F32" s="33">
        <f>E32+F31</f>
        <v/>
      </c>
      <c r="G32" s="33">
        <f>F32+G31</f>
        <v/>
      </c>
      <c r="H32" s="33">
        <f>G32+H31</f>
        <v/>
      </c>
      <c r="I32" s="33">
        <f>H32+I31</f>
        <v/>
      </c>
      <c r="J32" s="33">
        <f>I32+J31</f>
        <v/>
      </c>
      <c r="K32" s="33">
        <f>J32+K31</f>
        <v/>
      </c>
      <c r="L32" s="33">
        <f>K32+L31</f>
        <v/>
      </c>
      <c r="M32" s="33">
        <f>L32+M31</f>
        <v/>
      </c>
      <c r="N32" s="33">
        <f>M32+N31</f>
        <v/>
      </c>
      <c r="O32" s="33">
        <f>N32+O31</f>
        <v/>
      </c>
      <c r="P32" s="33">
        <f>O32+P31</f>
        <v/>
      </c>
      <c r="Q32" s="33">
        <f>P32+Q31</f>
        <v/>
      </c>
      <c r="R32" s="33">
        <f>Q32+R31</f>
        <v/>
      </c>
      <c r="S32" s="33">
        <f>R32+S31</f>
        <v/>
      </c>
      <c r="T32" s="33">
        <f>S32+T31</f>
        <v/>
      </c>
      <c r="U32" s="33">
        <f>T32+U31</f>
        <v/>
      </c>
      <c r="V32" s="33">
        <f>U32+V31</f>
        <v/>
      </c>
      <c r="W32" s="33">
        <f>V32+W31</f>
        <v/>
      </c>
      <c r="X32" s="33">
        <f>W32+X31</f>
        <v/>
      </c>
      <c r="Y32" s="33">
        <f>X32+Y31</f>
        <v/>
      </c>
      <c r="Z32" s="33">
        <f>Y32+Z31</f>
        <v/>
      </c>
    </row>
    <row r="33">
      <c r="B33" s="35" t="inlineStr">
        <is>
          <t>Cumulative cash vs capital</t>
        </is>
      </c>
      <c r="C33" s="36">
        <f>C32-'Scenarios &amp; Payback'!$C$8</f>
        <v/>
      </c>
      <c r="D33" s="36">
        <f>C33+D31</f>
        <v/>
      </c>
      <c r="E33" s="36">
        <f>D33+E31</f>
        <v/>
      </c>
      <c r="F33" s="36">
        <f>E33+F31</f>
        <v/>
      </c>
      <c r="G33" s="36">
        <f>F33+G31</f>
        <v/>
      </c>
      <c r="H33" s="36">
        <f>G33+H31</f>
        <v/>
      </c>
      <c r="I33" s="36">
        <f>H33+I31</f>
        <v/>
      </c>
      <c r="J33" s="36">
        <f>I33+J31</f>
        <v/>
      </c>
      <c r="K33" s="36">
        <f>J33+K31</f>
        <v/>
      </c>
      <c r="L33" s="36">
        <f>K33+L31</f>
        <v/>
      </c>
      <c r="M33" s="36">
        <f>L33+M31</f>
        <v/>
      </c>
      <c r="N33" s="36">
        <f>M33+N31</f>
        <v/>
      </c>
      <c r="O33" s="36">
        <f>N33+O31</f>
        <v/>
      </c>
      <c r="P33" s="36">
        <f>O33+P31</f>
        <v/>
      </c>
      <c r="Q33" s="36">
        <f>P33+Q31</f>
        <v/>
      </c>
      <c r="R33" s="36">
        <f>Q33+R31</f>
        <v/>
      </c>
      <c r="S33" s="36">
        <f>R33+S31</f>
        <v/>
      </c>
      <c r="T33" s="36">
        <f>S33+T31</f>
        <v/>
      </c>
      <c r="U33" s="36">
        <f>T33+U31</f>
        <v/>
      </c>
      <c r="V33" s="36">
        <f>U33+V31</f>
        <v/>
      </c>
      <c r="W33" s="36">
        <f>V33+W31</f>
        <v/>
      </c>
      <c r="X33" s="36">
        <f>W33+X31</f>
        <v/>
      </c>
      <c r="Y33" s="36">
        <f>X33+Y31</f>
        <v/>
      </c>
      <c r="Z33" s="36">
        <f>Y33+Z31</f>
        <v/>
      </c>
    </row>
    <row r="34">
      <c r="B34" s="8" t="inlineStr">
        <is>
          <t>Payback reached this month?</t>
        </is>
      </c>
      <c r="C34" s="37">
        <f>IF(C33&gt;=0,"YES","")</f>
        <v/>
      </c>
      <c r="D34" s="37">
        <f>IF(AND(D33&gt;=0,C33&lt;0),"YES","")</f>
        <v/>
      </c>
      <c r="E34" s="37">
        <f>IF(AND(E33&gt;=0,D33&lt;0),"YES","")</f>
        <v/>
      </c>
      <c r="F34" s="37">
        <f>IF(AND(F33&gt;=0,E33&lt;0),"YES","")</f>
        <v/>
      </c>
      <c r="G34" s="37">
        <f>IF(AND(G33&gt;=0,F33&lt;0),"YES","")</f>
        <v/>
      </c>
      <c r="H34" s="37">
        <f>IF(AND(H33&gt;=0,G33&lt;0),"YES","")</f>
        <v/>
      </c>
      <c r="I34" s="37">
        <f>IF(AND(I33&gt;=0,H33&lt;0),"YES","")</f>
        <v/>
      </c>
      <c r="J34" s="37">
        <f>IF(AND(J33&gt;=0,I33&lt;0),"YES","")</f>
        <v/>
      </c>
      <c r="K34" s="37">
        <f>IF(AND(K33&gt;=0,J33&lt;0),"YES","")</f>
        <v/>
      </c>
      <c r="L34" s="37">
        <f>IF(AND(L33&gt;=0,K33&lt;0),"YES","")</f>
        <v/>
      </c>
      <c r="M34" s="37">
        <f>IF(AND(M33&gt;=0,L33&lt;0),"YES","")</f>
        <v/>
      </c>
      <c r="N34" s="37">
        <f>IF(AND(N33&gt;=0,M33&lt;0),"YES","")</f>
        <v/>
      </c>
      <c r="O34" s="37">
        <f>IF(AND(O33&gt;=0,N33&lt;0),"YES","")</f>
        <v/>
      </c>
      <c r="P34" s="37">
        <f>IF(AND(P33&gt;=0,O33&lt;0),"YES","")</f>
        <v/>
      </c>
      <c r="Q34" s="37">
        <f>IF(AND(Q33&gt;=0,P33&lt;0),"YES","")</f>
        <v/>
      </c>
      <c r="R34" s="37">
        <f>IF(AND(R33&gt;=0,Q33&lt;0),"YES","")</f>
        <v/>
      </c>
      <c r="S34" s="37">
        <f>IF(AND(S33&gt;=0,R33&lt;0),"YES","")</f>
        <v/>
      </c>
      <c r="T34" s="37">
        <f>IF(AND(T33&gt;=0,S33&lt;0),"YES","")</f>
        <v/>
      </c>
      <c r="U34" s="37">
        <f>IF(AND(U33&gt;=0,T33&lt;0),"YES","")</f>
        <v/>
      </c>
      <c r="V34" s="37">
        <f>IF(AND(V33&gt;=0,U33&lt;0),"YES","")</f>
        <v/>
      </c>
      <c r="W34" s="37">
        <f>IF(AND(W33&gt;=0,V33&lt;0),"YES","")</f>
        <v/>
      </c>
      <c r="X34" s="37">
        <f>IF(AND(X33&gt;=0,W33&lt;0),"YES","")</f>
        <v/>
      </c>
      <c r="Y34" s="37">
        <f>IF(AND(Y33&gt;=0,X33&lt;0),"YES","")</f>
        <v/>
      </c>
      <c r="Z34" s="37">
        <f>IF(AND(Z33&gt;=0,Y33&lt;0),"YES","")</f>
        <v/>
      </c>
    </row>
    <row r="35">
      <c r="B35" s="8" t="inlineStr">
        <is>
          <t>EBITDA positive flag</t>
        </is>
      </c>
      <c r="C35" s="31">
        <f>IF(C31&gt;0,1,0)</f>
        <v/>
      </c>
      <c r="D35" s="31">
        <f>IF(D31&gt;0,1,0)</f>
        <v/>
      </c>
      <c r="E35" s="31">
        <f>IF(E31&gt;0,1,0)</f>
        <v/>
      </c>
      <c r="F35" s="31">
        <f>IF(F31&gt;0,1,0)</f>
        <v/>
      </c>
      <c r="G35" s="31">
        <f>IF(G31&gt;0,1,0)</f>
        <v/>
      </c>
      <c r="H35" s="31">
        <f>IF(H31&gt;0,1,0)</f>
        <v/>
      </c>
      <c r="I35" s="31">
        <f>IF(I31&gt;0,1,0)</f>
        <v/>
      </c>
      <c r="J35" s="31">
        <f>IF(J31&gt;0,1,0)</f>
        <v/>
      </c>
      <c r="K35" s="31">
        <f>IF(K31&gt;0,1,0)</f>
        <v/>
      </c>
      <c r="L35" s="31">
        <f>IF(L31&gt;0,1,0)</f>
        <v/>
      </c>
      <c r="M35" s="31">
        <f>IF(M31&gt;0,1,0)</f>
        <v/>
      </c>
      <c r="N35" s="31">
        <f>IF(N31&gt;0,1,0)</f>
        <v/>
      </c>
      <c r="O35" s="31">
        <f>IF(O31&gt;0,1,0)</f>
        <v/>
      </c>
      <c r="P35" s="31">
        <f>IF(P31&gt;0,1,0)</f>
        <v/>
      </c>
      <c r="Q35" s="31">
        <f>IF(Q31&gt;0,1,0)</f>
        <v/>
      </c>
      <c r="R35" s="31">
        <f>IF(R31&gt;0,1,0)</f>
        <v/>
      </c>
      <c r="S35" s="31">
        <f>IF(S31&gt;0,1,0)</f>
        <v/>
      </c>
      <c r="T35" s="31">
        <f>IF(T31&gt;0,1,0)</f>
        <v/>
      </c>
      <c r="U35" s="31">
        <f>IF(U31&gt;0,1,0)</f>
        <v/>
      </c>
      <c r="V35" s="31">
        <f>IF(V31&gt;0,1,0)</f>
        <v/>
      </c>
      <c r="W35" s="31">
        <f>IF(W31&gt;0,1,0)</f>
        <v/>
      </c>
      <c r="X35" s="31">
        <f>IF(X31&gt;0,1,0)</f>
        <v/>
      </c>
      <c r="Y35" s="31">
        <f>IF(Y31&gt;0,1,0)</f>
        <v/>
      </c>
      <c r="Z35" s="31">
        <f>IF(Z31&gt;0,1,0)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18" customWidth="1" min="4" max="4"/>
    <col width="18" customWidth="1" min="5" max="5"/>
    <col width="42" customWidth="1" min="6" max="6"/>
  </cols>
  <sheetData>
    <row r="2">
      <c r="B2" s="6" t="inlineStr">
        <is>
          <t>CAPITAL REQUIRED &amp; PAYBACK</t>
        </is>
      </c>
    </row>
    <row r="4">
      <c r="B4" s="24" t="inlineStr">
        <is>
          <t>TOTAL CAPITAL REQUIRED</t>
        </is>
      </c>
    </row>
    <row r="5">
      <c r="B5" s="8" t="inlineStr">
        <is>
          <t>Initial inventory (first PO at MOQ)</t>
        </is>
      </c>
      <c r="C5" s="38">
        <f>'Landed Cost'!C24</f>
        <v/>
      </c>
      <c r="F5" s="10" t="inlineStr"/>
    </row>
    <row r="6">
      <c r="B6" s="8" t="inlineStr">
        <is>
          <t>BAI registration + business setup + brand</t>
        </is>
      </c>
      <c r="C6" s="38">
        <f>Assumptions!C6+Assumptions!C7+Assumptions!C8</f>
        <v/>
      </c>
      <c r="F6" s="10" t="inlineStr">
        <is>
          <t>Registration is the long pole — start it first</t>
        </is>
      </c>
    </row>
    <row r="7">
      <c r="B7" s="8" t="inlineStr">
        <is>
          <t>Contingency buffer</t>
        </is>
      </c>
      <c r="C7" s="38">
        <f>(C5+C6)*Assumptions!C39</f>
        <v/>
      </c>
      <c r="F7" s="10" t="inlineStr"/>
    </row>
    <row r="8">
      <c r="B8" s="35" t="inlineStr">
        <is>
          <t>TOTAL CAPITAL REQUIRED</t>
        </is>
      </c>
      <c r="C8" s="39">
        <f>SUM(C5:C7)</f>
        <v/>
      </c>
      <c r="F8" s="10" t="inlineStr">
        <is>
          <t>Screen: must sit inside PHP 500,000 – 2,500,000</t>
        </is>
      </c>
    </row>
    <row r="9">
      <c r="B9" s="8" t="inlineStr">
        <is>
          <t>Fits capital screen?</t>
        </is>
      </c>
      <c r="C9" s="40">
        <f>IF(AND(C8&gt;=500000,C8&lt;=2500000),"YES — inside range","NO — outside PHP 0.5M-2.5M")</f>
        <v/>
      </c>
      <c r="F9" s="10" t="inlineStr"/>
    </row>
    <row r="11">
      <c r="B11" s="24" t="inlineStr">
        <is>
          <t>UNIT ECONOMICS (selected lane)</t>
        </is>
      </c>
    </row>
    <row r="12">
      <c r="B12" s="8" t="inlineStr">
        <is>
          <t>Landed cost per unit</t>
        </is>
      </c>
      <c r="C12" s="41">
        <f>'Landed Cost'!C22</f>
        <v/>
      </c>
      <c r="F12" s="10" t="inlineStr"/>
    </row>
    <row r="13">
      <c r="B13" s="8" t="inlineStr">
        <is>
          <t>Retail price (VAT-inclusive)</t>
        </is>
      </c>
      <c r="C13" s="38">
        <f>Assumptions!C16</f>
        <v/>
      </c>
      <c r="F13" s="10" t="inlineStr"/>
    </row>
    <row r="14">
      <c r="B14" s="8" t="inlineStr">
        <is>
          <t>Gross margin — direct</t>
        </is>
      </c>
      <c r="C14" s="42">
        <f>'Landed Cost'!C25</f>
        <v/>
      </c>
      <c r="F14" s="10" t="inlineStr">
        <is>
          <t>Manual target: 60%+</t>
        </is>
      </c>
    </row>
    <row r="15">
      <c r="B15" s="8" t="inlineStr">
        <is>
          <t>Gross margin — wholesale</t>
        </is>
      </c>
      <c r="C15" s="42">
        <f>'Landed Cost'!C26</f>
        <v/>
      </c>
      <c r="F15" s="10" t="inlineStr">
        <is>
          <t>Manual target: 30%+</t>
        </is>
      </c>
    </row>
    <row r="16">
      <c r="B16" s="8" t="inlineStr">
        <is>
          <t>Contribution per direct unit (after fees &amp; CAC)</t>
        </is>
      </c>
      <c r="C16" s="41">
        <f>Assumptions!C16/(1+Assumptions!C20*Assumptions!C19)*(1-Assumptions!C32-Assumptions!C33)-'Landed Cost'!C22</f>
        <v/>
      </c>
      <c r="F16" s="10" t="inlineStr"/>
    </row>
    <row r="18">
      <c r="B18" s="24" t="inlineStr">
        <is>
          <t>24-MONTH RESULT AT CURRENT SETTINGS</t>
        </is>
      </c>
    </row>
    <row r="19">
      <c r="B19" s="8" t="inlineStr">
        <is>
          <t>Total units sold</t>
        </is>
      </c>
      <c r="C19" s="43">
        <f>SUM('Monthly Model'!C11:Z11)</f>
        <v/>
      </c>
      <c r="F19" s="10" t="inlineStr"/>
    </row>
    <row r="20">
      <c r="B20" s="8" t="inlineStr">
        <is>
          <t>Total revenue</t>
        </is>
      </c>
      <c r="C20" s="38">
        <f>SUM('Monthly Model'!C18:Z18)</f>
        <v/>
      </c>
      <c r="F20" s="10" t="inlineStr"/>
    </row>
    <row r="21">
      <c r="B21" s="8" t="inlineStr">
        <is>
          <t>Total EBITDA</t>
        </is>
      </c>
      <c r="C21" s="38">
        <f>SUM('Monthly Model'!C31:Z31)</f>
        <v/>
      </c>
      <c r="F21" s="10" t="inlineStr"/>
    </row>
    <row r="22">
      <c r="B22" s="8" t="inlineStr">
        <is>
          <t>Month EBITDA turns positive</t>
        </is>
      </c>
      <c r="C22" s="43">
        <f>IFERROR(MATCH(1,'Monthly Model'!C35:Z35,0),"not within 24 months")</f>
        <v/>
      </c>
      <c r="F22" s="10" t="inlineStr"/>
    </row>
    <row r="23">
      <c r="B23" s="35" t="inlineStr">
        <is>
          <t>Payback month (cumulative cash ≥ capital)</t>
        </is>
      </c>
      <c r="C23" s="44">
        <f>IFERROR(MATCH("YES",'Monthly Model'!C34:Z34,0),"not within 24 months")</f>
        <v/>
      </c>
      <c r="F23" s="10" t="inlineStr">
        <is>
          <t>Manual screen: 24–30 months or better</t>
        </is>
      </c>
    </row>
    <row r="25">
      <c r="B25" s="24" t="inlineStr">
        <is>
          <t>SCENARIOS</t>
        </is>
      </c>
    </row>
    <row r="26">
      <c r="B26" s="15" t="inlineStr">
        <is>
          <t>Change Assumptions!C29 to the multiplier and re-read row 23.</t>
        </is>
      </c>
    </row>
    <row r="27">
      <c r="B27" s="7" t="inlineStr">
        <is>
          <t>Scenario</t>
        </is>
      </c>
      <c r="C27" s="18" t="inlineStr">
        <is>
          <t>Conservative</t>
        </is>
      </c>
      <c r="D27" s="18" t="inlineStr">
        <is>
          <t>Base</t>
        </is>
      </c>
      <c r="E27" s="18" t="inlineStr">
        <is>
          <t>Upside</t>
        </is>
      </c>
    </row>
    <row r="28">
      <c r="B28" s="8" t="inlineStr">
        <is>
          <t>Demand multiplier to enter in Assumptions!C29</t>
        </is>
      </c>
      <c r="C28" s="9" t="n">
        <v>0.6</v>
      </c>
      <c r="D28" s="9" t="n">
        <v>1</v>
      </c>
      <c r="E28" s="9" t="n">
        <v>1.5</v>
      </c>
    </row>
    <row r="30">
      <c r="B30" s="24" t="inlineStr">
        <is>
          <t>KILL CRITERIA — abandon or renegotiate if any is true</t>
        </is>
      </c>
    </row>
    <row r="31">
      <c r="B31" s="45" t="inlineStr">
        <is>
          <t>• Landed cost per unit exceeds PHP 600 (check cell C12 above).</t>
        </is>
      </c>
    </row>
    <row r="32">
      <c r="B32" s="45" t="inlineStr">
        <is>
          <t>• Cohort repeat rate is below 15% by month 4 of selling.</t>
        </is>
      </c>
    </row>
    <row r="33">
      <c r="B33" s="45" t="inlineStr">
        <is>
          <t>• Returns or spoilage exceed 8% — soft chews failing in tropical humidity.</t>
        </is>
      </c>
    </row>
    <row r="34">
      <c r="B34" s="45" t="inlineStr">
        <is>
          <t>• BAI registration quote exceeds PHP 500,000 per SKU, or 12 months.</t>
        </is>
      </c>
    </row>
    <row r="35">
      <c r="B35" s="45" t="inlineStr">
        <is>
          <t>• No supplier can produce GMP certificate + Certificate of Free Sale at an MOQ under PHP 300,000.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2026-08-19T09:57:03Z</dcterms:created>
  <dcterms:modified xsi:type="dcterms:W3CDTF">2026-08-19T09:57:03Z</dcterms:modified>
</cp:coreProperties>
</file>